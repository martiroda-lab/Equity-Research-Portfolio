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9033139b0e9dc99/Valuation Methods/"/>
    </mc:Choice>
  </mc:AlternateContent>
  <xr:revisionPtr revIDLastSave="1202" documentId="11_F25DC773A252ABDACC104893219B44185BDE58EF" xr6:coauthVersionLast="47" xr6:coauthVersionMax="47" xr10:uidLastSave="{1571258F-37B5-4D47-A31B-8C270D8C3817}"/>
  <bookViews>
    <workbookView xWindow="-110" yWindow="-110" windowWidth="19420" windowHeight="11500" xr2:uid="{00000000-000D-0000-FFFF-FFFF00000000}"/>
  </bookViews>
  <sheets>
    <sheet name="DCF" sheetId="7" r:id="rId1"/>
    <sheet name="WACC" sheetId="8" r:id="rId2"/>
    <sheet name="Public-Comps" sheetId="6" r:id="rId3"/>
    <sheet name="MA_Comps" sheetId="2" r:id="rId4"/>
  </sheets>
  <externalReferences>
    <externalReference r:id="rId5"/>
    <externalReference r:id="rId6"/>
  </externalReferences>
  <definedNames>
    <definedName name="Company_Name" localSheetId="0">DCF!$D$8</definedName>
    <definedName name="Company_Name">DCF!$D$8</definedName>
    <definedName name="Cost_of_Debt">WACC!$F$8</definedName>
    <definedName name="Cost_of_Preferred">WACC!$F$9</definedName>
    <definedName name="Diluted_Shares">DCF!$I$32</definedName>
    <definedName name="Discount_Rate">DCF!$D$12</definedName>
    <definedName name="Equity_Risk_Premium">WACC!$F$7</definedName>
    <definedName name="Hist_Year" localSheetId="0">DCF!$D$14</definedName>
    <definedName name="Hist_Year" localSheetId="1">DCF!$D$13</definedName>
    <definedName name="Hist_Year">DCF!$D$14</definedName>
    <definedName name="_xlnm.Print_Area" localSheetId="0">DCF!$A$1:$S$128</definedName>
    <definedName name="_xlnm.Print_Area" localSheetId="3">MA_Comps!$A$1:$K$31</definedName>
    <definedName name="_xlnm.Print_Area" localSheetId="2">'Public-Comps'!$A$1:$Z$40</definedName>
    <definedName name="_xlnm.Print_Area" localSheetId="1">WACC!$A$1:$M$42</definedName>
    <definedName name="Risk_Free_Rate">WACC!$F$6</definedName>
    <definedName name="Share_Price" localSheetId="0">DCF!$D$10</definedName>
    <definedName name="Share_Price">DCF!$D$13</definedName>
    <definedName name="Tax_Rate" localSheetId="1">DCF!$D$13</definedName>
    <definedName name="Tax_Rate">DCF!$D$13</definedName>
    <definedName name="Terminal_Growth_Rate">DCF!#REF!</definedName>
    <definedName name="Terminal_Multiple">DCF!#REF!</definedName>
    <definedName name="Ticker">DCF!$D$9</definedName>
    <definedName name="WACC">WACC!$L$41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9" i="7" l="1"/>
  <c r="AC48" i="7"/>
  <c r="AB48" i="7"/>
  <c r="AC42" i="7"/>
  <c r="AB42" i="7"/>
  <c r="G71" i="7"/>
  <c r="AC41" i="7"/>
  <c r="AB41" i="7"/>
  <c r="E69" i="7"/>
  <c r="H83" i="7"/>
  <c r="E67" i="7"/>
  <c r="H40" i="7"/>
  <c r="H66" i="7"/>
  <c r="H67" i="7"/>
  <c r="I55" i="7"/>
  <c r="J55" i="7" s="1"/>
  <c r="K55" i="7" s="1"/>
  <c r="L55" i="7" s="1"/>
  <c r="M55" i="7" s="1"/>
  <c r="N55" i="7" s="1"/>
  <c r="O55" i="7" s="1"/>
  <c r="P55" i="7" s="1"/>
  <c r="Q55" i="7" s="1"/>
  <c r="G49" i="7"/>
  <c r="H49" i="7" s="1"/>
  <c r="H86" i="7" s="1"/>
  <c r="E49" i="7"/>
  <c r="E50" i="7" s="1"/>
  <c r="F49" i="7"/>
  <c r="F50" i="7"/>
  <c r="AF35" i="6"/>
  <c r="Q29" i="2"/>
  <c r="L38" i="8"/>
  <c r="G95" i="7"/>
  <c r="I92" i="7"/>
  <c r="J92" i="7" s="1"/>
  <c r="K92" i="7" s="1"/>
  <c r="L92" i="7" s="1"/>
  <c r="M92" i="7" s="1"/>
  <c r="N92" i="7" s="1"/>
  <c r="O92" i="7" s="1"/>
  <c r="P92" i="7" s="1"/>
  <c r="Q92" i="7" s="1"/>
  <c r="E52" i="7"/>
  <c r="E53" i="7" s="1"/>
  <c r="E78" i="7"/>
  <c r="G78" i="7"/>
  <c r="F78" i="7"/>
  <c r="E71" i="7"/>
  <c r="E46" i="7"/>
  <c r="I40" i="7"/>
  <c r="E43" i="7"/>
  <c r="E44" i="7" s="1"/>
  <c r="F41" i="7"/>
  <c r="G41" i="7"/>
  <c r="D105" i="7"/>
  <c r="D119" i="7" s="1"/>
  <c r="E41" i="7"/>
  <c r="I22" i="7"/>
  <c r="N22" i="7" s="1"/>
  <c r="L33" i="8"/>
  <c r="J28" i="8"/>
  <c r="I29" i="8"/>
  <c r="F29" i="8"/>
  <c r="F28" i="8"/>
  <c r="E29" i="8"/>
  <c r="K28" i="8"/>
  <c r="D28" i="8"/>
  <c r="J19" i="8"/>
  <c r="J21" i="8"/>
  <c r="L19" i="8"/>
  <c r="F19" i="8"/>
  <c r="H19" i="8"/>
  <c r="I19" i="8"/>
  <c r="I18" i="8"/>
  <c r="I17" i="8"/>
  <c r="I16" i="8"/>
  <c r="J16" i="8" s="1"/>
  <c r="I15" i="8"/>
  <c r="L15" i="8" s="1"/>
  <c r="H16" i="8"/>
  <c r="L18" i="8"/>
  <c r="I14" i="8"/>
  <c r="F14" i="8" s="1"/>
  <c r="C15" i="8"/>
  <c r="C16" i="8"/>
  <c r="C17" i="8"/>
  <c r="C18" i="8"/>
  <c r="C19" i="8"/>
  <c r="B15" i="8"/>
  <c r="B16" i="8"/>
  <c r="B17" i="8"/>
  <c r="B18" i="8"/>
  <c r="B19" i="8"/>
  <c r="C14" i="8"/>
  <c r="B14" i="8"/>
  <c r="F15" i="8"/>
  <c r="K21" i="8"/>
  <c r="I21" i="8"/>
  <c r="G21" i="8"/>
  <c r="E21" i="8"/>
  <c r="D21" i="8"/>
  <c r="D16" i="7"/>
  <c r="N32" i="7"/>
  <c r="D21" i="7"/>
  <c r="I10" i="7"/>
  <c r="AD5" i="6"/>
  <c r="O7" i="2"/>
  <c r="U7" i="2"/>
  <c r="AJ5" i="6"/>
  <c r="AC13" i="6"/>
  <c r="AC14" i="6"/>
  <c r="AF22" i="6"/>
  <c r="O13" i="2" a="1"/>
  <c r="O13" i="2" s="1"/>
  <c r="U19" i="2"/>
  <c r="T14" i="2"/>
  <c r="T13" i="2"/>
  <c r="AJ24" i="6"/>
  <c r="AN13" i="6"/>
  <c r="AN14" i="6"/>
  <c r="AN15" i="6"/>
  <c r="AN16" i="6"/>
  <c r="AN17" i="6"/>
  <c r="AN18" i="6"/>
  <c r="AN19" i="6"/>
  <c r="AN20" i="6"/>
  <c r="AM13" i="6"/>
  <c r="AM14" i="6"/>
  <c r="AM15" i="6"/>
  <c r="AM16" i="6"/>
  <c r="AM17" i="6"/>
  <c r="AM18" i="6"/>
  <c r="AM19" i="6"/>
  <c r="AM20" i="6"/>
  <c r="AL13" i="6"/>
  <c r="AL14" i="6"/>
  <c r="AL15" i="6"/>
  <c r="AL16" i="6"/>
  <c r="AL17" i="6"/>
  <c r="AL18" i="6"/>
  <c r="AL19" i="6"/>
  <c r="AL20" i="6"/>
  <c r="AK13" i="6"/>
  <c r="AK14" i="6"/>
  <c r="AK15" i="6"/>
  <c r="AK16" i="6"/>
  <c r="AK17" i="6"/>
  <c r="AK18" i="6"/>
  <c r="AK19" i="6"/>
  <c r="AK20" i="6"/>
  <c r="AK12" i="6"/>
  <c r="AL12" i="6"/>
  <c r="AM12" i="6"/>
  <c r="AN12" i="6"/>
  <c r="AJ13" i="6"/>
  <c r="AJ14" i="6"/>
  <c r="AJ15" i="6"/>
  <c r="AJ16" i="6"/>
  <c r="AJ17" i="6"/>
  <c r="AJ18" i="6"/>
  <c r="AJ19" i="6"/>
  <c r="AJ20" i="6"/>
  <c r="AJ12" i="6"/>
  <c r="AM30" i="6"/>
  <c r="AN30" i="6"/>
  <c r="AM31" i="6"/>
  <c r="AN31" i="6"/>
  <c r="AM32" i="6"/>
  <c r="AN32" i="6"/>
  <c r="AL30" i="6"/>
  <c r="AL31" i="6"/>
  <c r="AL32" i="6"/>
  <c r="AK30" i="6"/>
  <c r="AK31" i="6"/>
  <c r="AK32" i="6"/>
  <c r="AJ30" i="6"/>
  <c r="AJ31" i="6"/>
  <c r="AJ32" i="6"/>
  <c r="AN25" i="6"/>
  <c r="AN26" i="6"/>
  <c r="AN27" i="6"/>
  <c r="AN28" i="6"/>
  <c r="AN29" i="6"/>
  <c r="AM25" i="6"/>
  <c r="AM26" i="6"/>
  <c r="AM27" i="6"/>
  <c r="AM28" i="6"/>
  <c r="AM29" i="6"/>
  <c r="AL25" i="6"/>
  <c r="AL26" i="6"/>
  <c r="AL27" i="6"/>
  <c r="AL28" i="6"/>
  <c r="AL29" i="6"/>
  <c r="AK25" i="6"/>
  <c r="AK26" i="6"/>
  <c r="AK27" i="6"/>
  <c r="AK28" i="6"/>
  <c r="AK29" i="6"/>
  <c r="AJ25" i="6"/>
  <c r="AJ26" i="6"/>
  <c r="AJ27" i="6"/>
  <c r="AJ28" i="6"/>
  <c r="AJ29" i="6"/>
  <c r="AN24" i="6"/>
  <c r="AM24" i="6"/>
  <c r="AL24" i="6"/>
  <c r="AK24" i="6"/>
  <c r="AI12" i="6" a="1"/>
  <c r="AI12" i="6" s="1"/>
  <c r="AD12" i="6" a="1"/>
  <c r="AD12" i="6" s="1"/>
  <c r="AF30" i="6"/>
  <c r="AF34" i="6" s="1"/>
  <c r="AC20" i="6"/>
  <c r="AC19" i="6"/>
  <c r="AC17" i="6"/>
  <c r="AC16" i="6"/>
  <c r="K29" i="8"/>
  <c r="C29" i="8"/>
  <c r="H28" i="8"/>
  <c r="C28" i="8"/>
  <c r="B25" i="8"/>
  <c r="C23" i="8"/>
  <c r="B23" i="8"/>
  <c r="J18" i="8"/>
  <c r="H18" i="8"/>
  <c r="F18" i="8"/>
  <c r="L17" i="8"/>
  <c r="J17" i="8"/>
  <c r="H17" i="8"/>
  <c r="F17" i="8"/>
  <c r="L16" i="8"/>
  <c r="J15" i="8"/>
  <c r="H15" i="8"/>
  <c r="L14" i="8"/>
  <c r="J14" i="8"/>
  <c r="H14" i="8"/>
  <c r="B3" i="8"/>
  <c r="B2" i="8"/>
  <c r="D118" i="7"/>
  <c r="C118" i="7"/>
  <c r="F117" i="7"/>
  <c r="G117" i="7" s="1"/>
  <c r="H117" i="7" s="1"/>
  <c r="I117" i="7" s="1"/>
  <c r="J117" i="7" s="1"/>
  <c r="K117" i="7" s="1"/>
  <c r="L117" i="7" s="1"/>
  <c r="M117" i="7" s="1"/>
  <c r="N117" i="7" s="1"/>
  <c r="O117" i="7" s="1"/>
  <c r="F103" i="7"/>
  <c r="G103" i="7" s="1"/>
  <c r="H103" i="7" s="1"/>
  <c r="I103" i="7" s="1"/>
  <c r="J103" i="7" s="1"/>
  <c r="K103" i="7" s="1"/>
  <c r="L103" i="7" s="1"/>
  <c r="M103" i="7" s="1"/>
  <c r="N103" i="7" s="1"/>
  <c r="O103" i="7" s="1"/>
  <c r="F95" i="7"/>
  <c r="E95" i="7"/>
  <c r="E96" i="7" s="1"/>
  <c r="G63" i="7"/>
  <c r="G87" i="7" s="1"/>
  <c r="F63" i="7"/>
  <c r="F87" i="7" s="1"/>
  <c r="E63" i="7"/>
  <c r="E81" i="7" s="1"/>
  <c r="H62" i="7"/>
  <c r="G58" i="7"/>
  <c r="F58" i="7"/>
  <c r="E58" i="7"/>
  <c r="G52" i="7"/>
  <c r="H52" i="7" s="1"/>
  <c r="F52" i="7"/>
  <c r="G46" i="7"/>
  <c r="F46" i="7"/>
  <c r="G43" i="7"/>
  <c r="H43" i="7" s="1"/>
  <c r="I43" i="7" s="1"/>
  <c r="F43" i="7"/>
  <c r="G38" i="7"/>
  <c r="H38" i="7" s="1"/>
  <c r="I38" i="7" s="1"/>
  <c r="J38" i="7" s="1"/>
  <c r="K38" i="7" s="1"/>
  <c r="L38" i="7" s="1"/>
  <c r="M38" i="7" s="1"/>
  <c r="N38" i="7" s="1"/>
  <c r="O38" i="7" s="1"/>
  <c r="P38" i="7" s="1"/>
  <c r="Q38" i="7" s="1"/>
  <c r="F38" i="7"/>
  <c r="E38" i="7" s="1"/>
  <c r="I29" i="7"/>
  <c r="N29" i="7" s="1"/>
  <c r="I28" i="7"/>
  <c r="N28" i="7" s="1"/>
  <c r="I27" i="7"/>
  <c r="N27" i="7" s="1"/>
  <c r="I25" i="7"/>
  <c r="N25" i="7" s="1"/>
  <c r="I24" i="7"/>
  <c r="N24" i="7" s="1"/>
  <c r="I23" i="7"/>
  <c r="N23" i="7" s="1"/>
  <c r="K20" i="7"/>
  <c r="K18" i="7"/>
  <c r="K17" i="7"/>
  <c r="K16" i="7"/>
  <c r="B2" i="7"/>
  <c r="E64" i="7" l="1"/>
  <c r="F84" i="7"/>
  <c r="D25" i="7"/>
  <c r="E77" i="7"/>
  <c r="I26" i="7"/>
  <c r="N26" i="7" s="1"/>
  <c r="H61" i="7"/>
  <c r="H63" i="7" s="1"/>
  <c r="E75" i="7"/>
  <c r="F44" i="7"/>
  <c r="I62" i="7"/>
  <c r="J62" i="7" s="1"/>
  <c r="K62" i="7" s="1"/>
  <c r="L62" i="7" s="1"/>
  <c r="M62" i="7" s="1"/>
  <c r="N62" i="7" s="1"/>
  <c r="O62" i="7" s="1"/>
  <c r="P62" i="7" s="1"/>
  <c r="Q62" i="7" s="1"/>
  <c r="G67" i="7"/>
  <c r="G75" i="7"/>
  <c r="F67" i="7"/>
  <c r="F75" i="7"/>
  <c r="E84" i="7"/>
  <c r="E87" i="7"/>
  <c r="G50" i="7"/>
  <c r="F53" i="7"/>
  <c r="I61" i="7"/>
  <c r="J40" i="7"/>
  <c r="K40" i="7" s="1"/>
  <c r="L40" i="7" s="1"/>
  <c r="F47" i="7"/>
  <c r="F16" i="8"/>
  <c r="F21" i="8"/>
  <c r="H21" i="8"/>
  <c r="H29" i="8" s="1"/>
  <c r="G29" i="8" s="1"/>
  <c r="J29" i="8"/>
  <c r="L21" i="8"/>
  <c r="D29" i="8" s="1"/>
  <c r="G47" i="7"/>
  <c r="E47" i="7"/>
  <c r="F96" i="7"/>
  <c r="G96" i="7"/>
  <c r="G44" i="7"/>
  <c r="E90" i="7"/>
  <c r="J43" i="7"/>
  <c r="D106" i="7"/>
  <c r="H46" i="7"/>
  <c r="H74" i="7"/>
  <c r="I52" i="7"/>
  <c r="F69" i="7"/>
  <c r="G69" i="7"/>
  <c r="G53" i="7"/>
  <c r="F64" i="7"/>
  <c r="G64" i="7"/>
  <c r="G84" i="7"/>
  <c r="F81" i="7"/>
  <c r="H81" i="7" s="1"/>
  <c r="G81" i="7"/>
  <c r="H64" i="7" l="1"/>
  <c r="H87" i="7"/>
  <c r="H75" i="7"/>
  <c r="L29" i="8"/>
  <c r="I49" i="7"/>
  <c r="J49" i="7" s="1"/>
  <c r="I81" i="7"/>
  <c r="H80" i="7"/>
  <c r="M40" i="7"/>
  <c r="I46" i="7"/>
  <c r="J46" i="7" s="1"/>
  <c r="K46" i="7" s="1"/>
  <c r="L46" i="7" s="1"/>
  <c r="M46" i="7" s="1"/>
  <c r="N46" i="7" s="1"/>
  <c r="O46" i="7" s="1"/>
  <c r="P46" i="7" s="1"/>
  <c r="Q46" i="7" s="1"/>
  <c r="D107" i="7"/>
  <c r="D108" i="7" s="1"/>
  <c r="D120" i="7"/>
  <c r="G77" i="7"/>
  <c r="F71" i="7"/>
  <c r="F77" i="7"/>
  <c r="I63" i="7"/>
  <c r="I83" i="7" s="1"/>
  <c r="I74" i="7"/>
  <c r="I75" i="7" s="1"/>
  <c r="J52" i="7"/>
  <c r="K43" i="7"/>
  <c r="J61" i="7"/>
  <c r="L32" i="8" l="1"/>
  <c r="L39" i="8" s="1"/>
  <c r="G89" i="7"/>
  <c r="I86" i="7"/>
  <c r="I87" i="7"/>
  <c r="L28" i="8"/>
  <c r="J86" i="7"/>
  <c r="K49" i="7"/>
  <c r="J63" i="7"/>
  <c r="J66" i="7"/>
  <c r="L43" i="7"/>
  <c r="K61" i="7"/>
  <c r="D121" i="7"/>
  <c r="J74" i="7"/>
  <c r="K52" i="7"/>
  <c r="H95" i="7"/>
  <c r="H96" i="7" s="1"/>
  <c r="H69" i="7"/>
  <c r="H77" i="7" s="1"/>
  <c r="I66" i="7"/>
  <c r="N40" i="7"/>
  <c r="I64" i="7"/>
  <c r="F89" i="7"/>
  <c r="F90" i="7" s="1"/>
  <c r="J81" i="7"/>
  <c r="I80" i="7"/>
  <c r="L31" i="8" l="1"/>
  <c r="J75" i="7"/>
  <c r="H71" i="7"/>
  <c r="H89" i="7" s="1"/>
  <c r="H90" i="7" s="1"/>
  <c r="K74" i="7"/>
  <c r="L52" i="7"/>
  <c r="K81" i="7"/>
  <c r="J80" i="7"/>
  <c r="D109" i="7"/>
  <c r="D122" i="7"/>
  <c r="K66" i="7"/>
  <c r="K63" i="7"/>
  <c r="O40" i="7"/>
  <c r="M43" i="7"/>
  <c r="L61" i="7"/>
  <c r="J95" i="7"/>
  <c r="J67" i="7"/>
  <c r="J69" i="7"/>
  <c r="J77" i="7" s="1"/>
  <c r="I95" i="7"/>
  <c r="I96" i="7" s="1"/>
  <c r="I69" i="7"/>
  <c r="I77" i="7" s="1"/>
  <c r="I67" i="7"/>
  <c r="J83" i="7"/>
  <c r="J64" i="7"/>
  <c r="G90" i="7"/>
  <c r="K86" i="7"/>
  <c r="L49" i="7"/>
  <c r="J87" i="7"/>
  <c r="L37" i="8" l="1"/>
  <c r="L41" i="8" s="1"/>
  <c r="D12" i="7" s="1"/>
  <c r="H93" i="7" s="1"/>
  <c r="I71" i="7"/>
  <c r="I89" i="7" s="1"/>
  <c r="J71" i="7"/>
  <c r="J89" i="7" s="1"/>
  <c r="L66" i="7"/>
  <c r="L63" i="7"/>
  <c r="N43" i="7"/>
  <c r="M61" i="7"/>
  <c r="P40" i="7"/>
  <c r="K64" i="7"/>
  <c r="K83" i="7"/>
  <c r="K67" i="7"/>
  <c r="K69" i="7"/>
  <c r="K77" i="7" s="1"/>
  <c r="K95" i="7"/>
  <c r="K96" i="7" s="1"/>
  <c r="D123" i="7"/>
  <c r="D110" i="7"/>
  <c r="L86" i="7"/>
  <c r="M49" i="7"/>
  <c r="K80" i="7"/>
  <c r="L81" i="7"/>
  <c r="K87" i="7"/>
  <c r="M52" i="7"/>
  <c r="L74" i="7"/>
  <c r="J96" i="7"/>
  <c r="K75" i="7"/>
  <c r="L87" i="7" l="1"/>
  <c r="I90" i="7"/>
  <c r="I93" i="7"/>
  <c r="L80" i="7"/>
  <c r="M81" i="7"/>
  <c r="M86" i="7"/>
  <c r="N49" i="7"/>
  <c r="N86" i="7" s="1"/>
  <c r="Q40" i="7"/>
  <c r="J93" i="7"/>
  <c r="J90" i="7"/>
  <c r="D124" i="7"/>
  <c r="D111" i="7"/>
  <c r="M66" i="7"/>
  <c r="M63" i="7"/>
  <c r="O43" i="7"/>
  <c r="N61" i="7"/>
  <c r="L83" i="7"/>
  <c r="L64" i="7"/>
  <c r="L67" i="7"/>
  <c r="L69" i="7"/>
  <c r="L77" i="7" s="1"/>
  <c r="L95" i="7"/>
  <c r="L96" i="7" s="1"/>
  <c r="L75" i="7"/>
  <c r="N52" i="7"/>
  <c r="M74" i="7"/>
  <c r="K71" i="7"/>
  <c r="K89" i="7" s="1"/>
  <c r="M75" i="7" l="1"/>
  <c r="M87" i="7"/>
  <c r="O52" i="7"/>
  <c r="N74" i="7"/>
  <c r="M69" i="7"/>
  <c r="M77" i="7" s="1"/>
  <c r="M67" i="7"/>
  <c r="M95" i="7"/>
  <c r="M96" i="7" s="1"/>
  <c r="D125" i="7"/>
  <c r="D112" i="7"/>
  <c r="D126" i="7" s="1"/>
  <c r="L71" i="7"/>
  <c r="L89" i="7" s="1"/>
  <c r="N87" i="7"/>
  <c r="O49" i="7"/>
  <c r="N63" i="7"/>
  <c r="N66" i="7"/>
  <c r="M80" i="7"/>
  <c r="N81" i="7"/>
  <c r="K93" i="7"/>
  <c r="K90" i="7"/>
  <c r="P43" i="7"/>
  <c r="O61" i="7"/>
  <c r="M64" i="7"/>
  <c r="M83" i="7"/>
  <c r="N75" i="7" l="1"/>
  <c r="L93" i="7"/>
  <c r="L90" i="7"/>
  <c r="O63" i="7"/>
  <c r="O66" i="7"/>
  <c r="Q43" i="7"/>
  <c r="Q61" i="7" s="1"/>
  <c r="P61" i="7"/>
  <c r="N80" i="7"/>
  <c r="O81" i="7"/>
  <c r="M71" i="7"/>
  <c r="M89" i="7" s="1"/>
  <c r="N69" i="7"/>
  <c r="N77" i="7" s="1"/>
  <c r="N67" i="7"/>
  <c r="N95" i="7"/>
  <c r="N96" i="7" s="1"/>
  <c r="N64" i="7"/>
  <c r="N83" i="7"/>
  <c r="O74" i="7"/>
  <c r="P52" i="7"/>
  <c r="P49" i="7"/>
  <c r="O86" i="7"/>
  <c r="O87" i="7" s="1"/>
  <c r="O75" i="7" l="1"/>
  <c r="M93" i="7"/>
  <c r="M90" i="7"/>
  <c r="O80" i="7"/>
  <c r="P81" i="7"/>
  <c r="Q49" i="7"/>
  <c r="Q86" i="7" s="1"/>
  <c r="P86" i="7"/>
  <c r="Q52" i="7"/>
  <c r="Q74" i="7" s="1"/>
  <c r="P74" i="7"/>
  <c r="P66" i="7"/>
  <c r="P63" i="7"/>
  <c r="P64" i="7" s="1"/>
  <c r="Q66" i="7"/>
  <c r="Q63" i="7"/>
  <c r="O67" i="7"/>
  <c r="O69" i="7"/>
  <c r="O77" i="7" s="1"/>
  <c r="O95" i="7"/>
  <c r="O96" i="7" s="1"/>
  <c r="O64" i="7"/>
  <c r="O83" i="7"/>
  <c r="N71" i="7"/>
  <c r="N89" i="7" s="1"/>
  <c r="O71" i="7" l="1"/>
  <c r="O89" i="7" s="1"/>
  <c r="Q83" i="7"/>
  <c r="Q64" i="7"/>
  <c r="Q67" i="7"/>
  <c r="Q69" i="7"/>
  <c r="Q77" i="7" s="1"/>
  <c r="Q95" i="7"/>
  <c r="P83" i="7"/>
  <c r="P67" i="7"/>
  <c r="P69" i="7"/>
  <c r="P77" i="7" s="1"/>
  <c r="P95" i="7"/>
  <c r="P96" i="7" s="1"/>
  <c r="P75" i="7"/>
  <c r="N93" i="7"/>
  <c r="N90" i="7"/>
  <c r="Q75" i="7"/>
  <c r="P87" i="7"/>
  <c r="Q87" i="7"/>
  <c r="P80" i="7"/>
  <c r="Q81" i="7"/>
  <c r="Q80" i="7" s="1"/>
  <c r="I13" i="7" l="1"/>
  <c r="I16" i="7" s="1"/>
  <c r="Q71" i="7"/>
  <c r="Q89" i="7" s="1"/>
  <c r="N13" i="7" s="1"/>
  <c r="P71" i="7"/>
  <c r="P89" i="7" s="1"/>
  <c r="P90" i="7" s="1"/>
  <c r="O93" i="7"/>
  <c r="O90" i="7"/>
  <c r="Q96" i="7"/>
  <c r="P93" i="7" l="1"/>
  <c r="I14" i="7"/>
  <c r="Q90" i="7"/>
  <c r="Q93" i="7"/>
  <c r="I17" i="7" l="1"/>
  <c r="I18" i="7" s="1"/>
  <c r="I20" i="7" s="1"/>
  <c r="N14" i="7"/>
  <c r="N16" i="7"/>
  <c r="N17" i="7"/>
  <c r="N18" i="7" l="1"/>
  <c r="N30" i="7" l="1"/>
  <c r="N34" i="7" s="1"/>
  <c r="N20" i="7"/>
  <c r="I30" i="7"/>
  <c r="I34" i="7" s="1"/>
  <c r="D117" i="7" l="1"/>
  <c r="I35" i="7"/>
  <c r="D103" i="7"/>
  <c r="N35" i="7"/>
  <c r="V18" i="6"/>
  <c r="C39" i="6" l="1"/>
  <c r="B39" i="6"/>
  <c r="T31" i="6"/>
  <c r="S31" i="6"/>
  <c r="R31" i="6"/>
  <c r="C31" i="6"/>
  <c r="B31" i="6"/>
  <c r="T30" i="6"/>
  <c r="S30" i="6"/>
  <c r="R30" i="6"/>
  <c r="F30" i="6"/>
  <c r="C30" i="6"/>
  <c r="B30" i="6"/>
  <c r="T29" i="6"/>
  <c r="S29" i="6"/>
  <c r="C29" i="6"/>
  <c r="B29" i="6"/>
  <c r="T28" i="6"/>
  <c r="F28" i="6"/>
  <c r="C28" i="6"/>
  <c r="B28" i="6"/>
  <c r="C27" i="6"/>
  <c r="B27" i="6"/>
  <c r="F26" i="6"/>
  <c r="C26" i="6"/>
  <c r="B26" i="6"/>
  <c r="R25" i="6"/>
  <c r="O25" i="6"/>
  <c r="M25" i="6"/>
  <c r="L25" i="6"/>
  <c r="Y21" i="6"/>
  <c r="X21" i="6"/>
  <c r="W21" i="6"/>
  <c r="V21" i="6"/>
  <c r="U21" i="6"/>
  <c r="J21" i="6"/>
  <c r="I21" i="6"/>
  <c r="H21" i="6"/>
  <c r="G21" i="6"/>
  <c r="E21" i="6"/>
  <c r="F21" i="6" s="1"/>
  <c r="I23" i="8" s="1"/>
  <c r="T19" i="6"/>
  <c r="S19" i="6"/>
  <c r="R19" i="6"/>
  <c r="Q19" i="6"/>
  <c r="P19" i="6"/>
  <c r="O19" i="6"/>
  <c r="N19" i="6"/>
  <c r="M19" i="6"/>
  <c r="L19" i="6"/>
  <c r="D19" i="6"/>
  <c r="T18" i="6"/>
  <c r="S18" i="6"/>
  <c r="R18" i="6"/>
  <c r="Q18" i="6"/>
  <c r="P18" i="6"/>
  <c r="O18" i="6"/>
  <c r="N18" i="6"/>
  <c r="M18" i="6"/>
  <c r="L18" i="6"/>
  <c r="D18" i="6"/>
  <c r="T17" i="6"/>
  <c r="S17" i="6"/>
  <c r="R17" i="6"/>
  <c r="Q17" i="6"/>
  <c r="P17" i="6"/>
  <c r="O17" i="6"/>
  <c r="N17" i="6"/>
  <c r="M17" i="6"/>
  <c r="L17" i="6"/>
  <c r="D17" i="6"/>
  <c r="T16" i="6"/>
  <c r="S16" i="6"/>
  <c r="R16" i="6"/>
  <c r="Q16" i="6"/>
  <c r="P16" i="6"/>
  <c r="O16" i="6"/>
  <c r="N16" i="6"/>
  <c r="M16" i="6"/>
  <c r="L16" i="6"/>
  <c r="D16" i="6"/>
  <c r="U15" i="6"/>
  <c r="T15" i="6"/>
  <c r="S15" i="6"/>
  <c r="R15" i="6"/>
  <c r="Q15" i="6"/>
  <c r="P15" i="6"/>
  <c r="O15" i="6"/>
  <c r="N15" i="6"/>
  <c r="M15" i="6"/>
  <c r="L15" i="6"/>
  <c r="F15" i="6"/>
  <c r="D15" i="6"/>
  <c r="Y13" i="6"/>
  <c r="X13" i="6"/>
  <c r="W13" i="6"/>
  <c r="V13" i="6"/>
  <c r="U13" i="6"/>
  <c r="F13" i="6"/>
  <c r="K13" i="6" s="1"/>
  <c r="Y12" i="6"/>
  <c r="X12" i="6"/>
  <c r="W12" i="6"/>
  <c r="V12" i="6"/>
  <c r="U12" i="6"/>
  <c r="U18" i="6" s="1"/>
  <c r="F12" i="6"/>
  <c r="K12" i="6" s="1"/>
  <c r="Y11" i="6"/>
  <c r="X11" i="6"/>
  <c r="W11" i="6"/>
  <c r="V11" i="6"/>
  <c r="U11" i="6"/>
  <c r="F11" i="6"/>
  <c r="R29" i="6" s="1"/>
  <c r="Y10" i="6"/>
  <c r="X10" i="6"/>
  <c r="X17" i="6" s="1"/>
  <c r="W10" i="6"/>
  <c r="W15" i="6" s="1"/>
  <c r="V10" i="6"/>
  <c r="U10" i="6"/>
  <c r="F10" i="6"/>
  <c r="S28" i="6" s="1"/>
  <c r="Y9" i="6"/>
  <c r="X9" i="6"/>
  <c r="X16" i="6" s="1"/>
  <c r="W9" i="6"/>
  <c r="W16" i="6" s="1"/>
  <c r="V9" i="6"/>
  <c r="V16" i="6" s="1"/>
  <c r="U9" i="6"/>
  <c r="F9" i="6"/>
  <c r="Y8" i="6"/>
  <c r="X8" i="6"/>
  <c r="X19" i="6" s="1"/>
  <c r="W8" i="6"/>
  <c r="W19" i="6" s="1"/>
  <c r="V8" i="6"/>
  <c r="U8" i="6"/>
  <c r="U19" i="6" s="1"/>
  <c r="F8" i="6"/>
  <c r="F17" i="6" s="1"/>
  <c r="X7" i="6"/>
  <c r="W7" i="6"/>
  <c r="S7" i="6"/>
  <c r="R7" i="6"/>
  <c r="O7" i="6"/>
  <c r="M7" i="6"/>
  <c r="S25" i="6" s="1"/>
  <c r="F23" i="8" l="1"/>
  <c r="L23" i="8"/>
  <c r="J23" i="8"/>
  <c r="T39" i="6"/>
  <c r="K21" i="6"/>
  <c r="S39" i="6"/>
  <c r="R39" i="6"/>
  <c r="F39" i="6"/>
  <c r="Q30" i="6"/>
  <c r="P30" i="6"/>
  <c r="O30" i="6"/>
  <c r="N30" i="6"/>
  <c r="M30" i="6"/>
  <c r="L30" i="6"/>
  <c r="K30" i="6"/>
  <c r="W17" i="6"/>
  <c r="V17" i="6"/>
  <c r="V15" i="6"/>
  <c r="Y16" i="6"/>
  <c r="Y18" i="6"/>
  <c r="X15" i="6"/>
  <c r="T27" i="6"/>
  <c r="R27" i="6"/>
  <c r="S27" i="6"/>
  <c r="Y15" i="6"/>
  <c r="Y17" i="6"/>
  <c r="Y19" i="6"/>
  <c r="K9" i="6"/>
  <c r="U16" i="6"/>
  <c r="K11" i="6"/>
  <c r="P31" i="6"/>
  <c r="O31" i="6"/>
  <c r="N31" i="6"/>
  <c r="M31" i="6"/>
  <c r="L31" i="6"/>
  <c r="K31" i="6"/>
  <c r="F18" i="6"/>
  <c r="F27" i="6"/>
  <c r="F35" i="6" s="1"/>
  <c r="F29" i="6"/>
  <c r="Q31" i="6"/>
  <c r="W18" i="6"/>
  <c r="P25" i="6"/>
  <c r="F31" i="6"/>
  <c r="F34" i="6" s="1"/>
  <c r="F16" i="6"/>
  <c r="X18" i="6"/>
  <c r="K8" i="6"/>
  <c r="R26" i="6"/>
  <c r="F19" i="6"/>
  <c r="S26" i="6"/>
  <c r="P7" i="6"/>
  <c r="U17" i="6"/>
  <c r="T26" i="6"/>
  <c r="R28" i="6"/>
  <c r="N7" i="6"/>
  <c r="K10" i="6"/>
  <c r="V19" i="6"/>
  <c r="R34" i="6" l="1"/>
  <c r="R35" i="6"/>
  <c r="R36" i="6"/>
  <c r="R37" i="6"/>
  <c r="R33" i="6"/>
  <c r="Q28" i="6"/>
  <c r="P28" i="6"/>
  <c r="O28" i="6"/>
  <c r="N28" i="6"/>
  <c r="M28" i="6"/>
  <c r="K28" i="6"/>
  <c r="L28" i="6"/>
  <c r="T36" i="6"/>
  <c r="T37" i="6"/>
  <c r="T35" i="6"/>
  <c r="T34" i="6"/>
  <c r="T33" i="6"/>
  <c r="Q27" i="6"/>
  <c r="P27" i="6"/>
  <c r="O27" i="6"/>
  <c r="N27" i="6"/>
  <c r="L27" i="6"/>
  <c r="K27" i="6"/>
  <c r="M27" i="6"/>
  <c r="Q39" i="6"/>
  <c r="P39" i="6"/>
  <c r="O39" i="6"/>
  <c r="N39" i="6"/>
  <c r="M39" i="6"/>
  <c r="L39" i="6"/>
  <c r="K39" i="6"/>
  <c r="K19" i="6"/>
  <c r="Q26" i="6"/>
  <c r="K16" i="6"/>
  <c r="P26" i="6"/>
  <c r="O26" i="6"/>
  <c r="K18" i="6"/>
  <c r="M26" i="6"/>
  <c r="K15" i="6"/>
  <c r="K17" i="6"/>
  <c r="N26" i="6"/>
  <c r="L26" i="6"/>
  <c r="K26" i="6"/>
  <c r="Q7" i="6"/>
  <c r="T25" i="6"/>
  <c r="Q25" i="6"/>
  <c r="Y7" i="6"/>
  <c r="N25" i="6"/>
  <c r="T7" i="6"/>
  <c r="P29" i="6"/>
  <c r="O29" i="6"/>
  <c r="Q29" i="6"/>
  <c r="N29" i="6"/>
  <c r="M29" i="6"/>
  <c r="L29" i="6"/>
  <c r="K29" i="6"/>
  <c r="F37" i="6"/>
  <c r="F36" i="6"/>
  <c r="S35" i="6"/>
  <c r="S37" i="6"/>
  <c r="S36" i="6"/>
  <c r="S33" i="6"/>
  <c r="S34" i="6"/>
  <c r="F33" i="6"/>
  <c r="O33" i="6" l="1"/>
  <c r="O34" i="6"/>
  <c r="O35" i="6"/>
  <c r="O36" i="6"/>
  <c r="O37" i="6"/>
  <c r="N33" i="6"/>
  <c r="N34" i="6"/>
  <c r="N35" i="6"/>
  <c r="N36" i="6"/>
  <c r="N37" i="6"/>
  <c r="M33" i="6"/>
  <c r="M34" i="6"/>
  <c r="M35" i="6"/>
  <c r="M36" i="6"/>
  <c r="M37" i="6"/>
  <c r="P35" i="6"/>
  <c r="P33" i="6"/>
  <c r="P34" i="6"/>
  <c r="P36" i="6"/>
  <c r="P37" i="6"/>
  <c r="Q33" i="6"/>
  <c r="Q35" i="6"/>
  <c r="Q36" i="6"/>
  <c r="Q34" i="6"/>
  <c r="Q37" i="6"/>
  <c r="K33" i="6"/>
  <c r="K34" i="6"/>
  <c r="K36" i="6"/>
  <c r="K35" i="6"/>
  <c r="K37" i="6"/>
  <c r="L33" i="6"/>
  <c r="L34" i="6"/>
  <c r="L35" i="6"/>
  <c r="L36" i="6"/>
  <c r="L37" i="6"/>
  <c r="H29" i="2" l="1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B7" i="2"/>
  <c r="I27" i="2" l="1"/>
  <c r="I29" i="2"/>
  <c r="J29" i="2"/>
  <c r="I28" i="2"/>
  <c r="J28" i="2"/>
  <c r="J27" i="2"/>
  <c r="I25" i="2"/>
  <c r="J25" i="2"/>
  <c r="I26" i="2"/>
  <c r="J26" i="2"/>
  <c r="Y18" i="2" l="1"/>
  <c r="Y13" i="2" s="1"/>
  <c r="Y19" i="2"/>
  <c r="Y14" i="2" s="1"/>
  <c r="X19" i="2"/>
  <c r="X14" i="2" s="1"/>
  <c r="X18" i="2"/>
  <c r="X13" i="2" s="1"/>
  <c r="U18" i="2"/>
  <c r="U13" i="2" s="1"/>
  <c r="W18" i="2"/>
  <c r="W13" i="2" s="1"/>
  <c r="V18" i="2"/>
  <c r="V13" i="2" s="1"/>
  <c r="W19" i="2"/>
  <c r="Q16" i="2" s="1"/>
  <c r="V19" i="2"/>
  <c r="V14" i="2" s="1"/>
  <c r="U14" i="2"/>
  <c r="Q24" i="2" l="1"/>
  <c r="W14" i="2"/>
  <c r="Q28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D13" authorId="0" shapeId="0" xr:uid="{546DEDCD-3B97-41E2-8B88-DCBC6C4509C6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Taking the average effective tax rate from the 3 most recent years of IS data.</t>
        </r>
      </text>
    </comment>
    <comment ref="H84" authorId="0" shapeId="0" xr:uid="{CE30442D-1863-440D-829C-02636F3A0495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Historically, Change in WC as a % of Change in Revenue was
around 10%; recent years are odd.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BIWS</author>
  </authors>
  <commentList>
    <comment ref="F6" authorId="0" shapeId="0" xr:uid="{C789F663-9A26-4852-AAA9-3FE8DE5A75C3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10-Year US Treasury yield as of valuation date.</t>
        </r>
      </text>
    </comment>
    <comment ref="F7" authorId="0" shapeId="0" xr:uid="{F72AF92A-2144-46D9-BFB3-9551A8357A20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U.S. Equity Risk Premium based on Damodaran’s latest annual update
</t>
        </r>
      </text>
    </comment>
    <comment ref="F8" authorId="0" shapeId="0" xr:uid="{72164E88-A15C-4EEA-886E-F48676AE2118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Average coupon rates on existing Debt issuances.
</t>
        </r>
      </text>
    </comment>
    <comment ref="F9" authorId="0" shapeId="0" xr:uid="{F61E5B61-EE1F-4619-8397-BC76264647AD}">
      <text>
        <r>
          <rPr>
            <b/>
            <sz val="9"/>
            <color indexed="81"/>
            <rFont val="Tahoma"/>
            <family val="2"/>
          </rPr>
          <t>BIWS:</t>
        </r>
        <r>
          <rPr>
            <sz val="9"/>
            <color indexed="81"/>
            <rFont val="Tahoma"/>
            <family val="2"/>
          </rPr>
          <t xml:space="preserve">
No outstanding Preferred Stock.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Martí Rodà</author>
  </authors>
  <commentList>
    <comment ref="E15" authorId="0" shapeId="0" xr:uid="{BD73A1F3-867C-4B16-8F19-1905A77DA338}">
      <text>
        <r>
          <rPr>
            <b/>
            <sz val="9"/>
            <color indexed="81"/>
            <rFont val="Tahoma"/>
            <family val="2"/>
          </rPr>
          <t>Martí Rodà:</t>
        </r>
        <r>
          <rPr>
            <sz val="9"/>
            <color indexed="81"/>
            <rFont val="Tahoma"/>
            <family val="2"/>
          </rPr>
          <t xml:space="preserve">
Partial - Asset Purchase Only (1,932 stores + 3 distribution centers acquired, not a full company acquisition)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<sst xmlns="http://schemas.openxmlformats.org/spreadsheetml/2006/main" count="428" uniqueCount="231">
  <si>
    <t>Precedent Transactions - U.S.-Based Retail Companies with Transaction Enterprise Values Above $2.000 Million USD</t>
  </si>
  <si>
    <t>($ USD in Millions Except Per Share Amounts in USD as Stated)</t>
  </si>
  <si>
    <t>(Only &gt;= 50% Acquisitions)</t>
  </si>
  <si>
    <t>Valuation Multiples</t>
  </si>
  <si>
    <t>Transaction</t>
  </si>
  <si>
    <t xml:space="preserve">TEV / </t>
  </si>
  <si>
    <t>Announcement</t>
  </si>
  <si>
    <t>Percentage</t>
  </si>
  <si>
    <t>Enterprise</t>
  </si>
  <si>
    <t>LTM</t>
  </si>
  <si>
    <t>Acquirer Name</t>
  </si>
  <si>
    <t>Target Name</t>
  </si>
  <si>
    <t>Date</t>
  </si>
  <si>
    <t>Acquired</t>
  </si>
  <si>
    <t>Value</t>
  </si>
  <si>
    <t>Revenue</t>
  </si>
  <si>
    <t>EBITDA</t>
  </si>
  <si>
    <t>Seven &amp; Holdings</t>
  </si>
  <si>
    <t>Speedway LLC</t>
  </si>
  <si>
    <t>Home Depot Inc.</t>
  </si>
  <si>
    <t>HD Supply Holdings Inc.</t>
  </si>
  <si>
    <t>Walmart Inc.</t>
  </si>
  <si>
    <t>Flipkart Private Ltd.</t>
  </si>
  <si>
    <t>N/A</t>
  </si>
  <si>
    <t>Amazon.com Inc.</t>
  </si>
  <si>
    <t>Whole Foods Market Inc.</t>
  </si>
  <si>
    <t>Walgreens Boots Alliance</t>
  </si>
  <si>
    <t>Rite Aid Corporation</t>
  </si>
  <si>
    <t>Jet.com Inc.</t>
  </si>
  <si>
    <t>Lowe's Companies Inc.</t>
  </si>
  <si>
    <t>RONA Inc.</t>
  </si>
  <si>
    <t>CVC Cpaital Partners</t>
  </si>
  <si>
    <t>Petco Animal Supplies Inc.</t>
  </si>
  <si>
    <t>BC Partners</t>
  </si>
  <si>
    <t>PetSmart Inc.</t>
  </si>
  <si>
    <t>Dollar Tree Inc.</t>
  </si>
  <si>
    <t>Family Dollar Stores Inc.</t>
  </si>
  <si>
    <t>Albertsons Companies</t>
  </si>
  <si>
    <t>Safeway Inc.</t>
  </si>
  <si>
    <t>Sycamore Partners</t>
  </si>
  <si>
    <t>Staples Inc.</t>
  </si>
  <si>
    <t>Target Corporation</t>
  </si>
  <si>
    <t>Shipt Inc.</t>
  </si>
  <si>
    <t>Maximum</t>
  </si>
  <si>
    <t>75th Percentile</t>
  </si>
  <si>
    <t>Median</t>
  </si>
  <si>
    <t>25th Percentile</t>
  </si>
  <si>
    <t>Minimum</t>
  </si>
  <si>
    <t>75th</t>
  </si>
  <si>
    <t>25th</t>
  </si>
  <si>
    <t>Applicable</t>
  </si>
  <si>
    <t>Percentile</t>
  </si>
  <si>
    <t>Company</t>
  </si>
  <si>
    <t>Multiple</t>
  </si>
  <si>
    <t>Figure</t>
  </si>
  <si>
    <t>LTM TEV / Revenue:</t>
  </si>
  <si>
    <t>LTM TEV / EBITDA:</t>
  </si>
  <si>
    <t>LTM P / E:</t>
  </si>
  <si>
    <t>Implied Enterprise Value or Equity Value at a Range of Multiples:</t>
  </si>
  <si>
    <t>(+) Cash &amp; Investments:</t>
  </si>
  <si>
    <t>(+) Net Operating Losses:</t>
  </si>
  <si>
    <t>Enterprise Value --&gt;</t>
  </si>
  <si>
    <t>(-) Debt &amp; Finance Leases:</t>
  </si>
  <si>
    <t>(-) Preferred Stock:</t>
  </si>
  <si>
    <t>(-) Operating Leases:</t>
  </si>
  <si>
    <t>(-) Noncontrolling Interests:</t>
  </si>
  <si>
    <t>(-) Unfunded Pensions:</t>
  </si>
  <si>
    <t>Implied Equity Value:</t>
  </si>
  <si>
    <t>Equity Value --&gt;</t>
  </si>
  <si>
    <t>Diluted Shares Outstanding:</t>
  </si>
  <si>
    <t>Premium / (Discount) to Current:</t>
  </si>
  <si>
    <t>Current Share Price:</t>
  </si>
  <si>
    <t>Last Fiscal Year:</t>
  </si>
  <si>
    <t>Best Buy Co.</t>
  </si>
  <si>
    <t>Company Name:</t>
  </si>
  <si>
    <t>Comparable Companies – U.S. Specialty &amp; Multi-Category Retailers with FY25 Revenue Between $10 Billion and $300 Billion</t>
  </si>
  <si>
    <t>Operating Statistics:</t>
  </si>
  <si>
    <t>Capitalization</t>
  </si>
  <si>
    <t>Projected</t>
  </si>
  <si>
    <t>Share</t>
  </si>
  <si>
    <t>Diluted</t>
  </si>
  <si>
    <t>Equity</t>
  </si>
  <si>
    <t>Preferred</t>
  </si>
  <si>
    <t>Other &amp;</t>
  </si>
  <si>
    <t>Net Income</t>
  </si>
  <si>
    <t>EBITDA Margin</t>
  </si>
  <si>
    <t>Company Name</t>
  </si>
  <si>
    <t>Ticker</t>
  </si>
  <si>
    <t>Price</t>
  </si>
  <si>
    <t>Shares</t>
  </si>
  <si>
    <t>Cash</t>
  </si>
  <si>
    <t>Debt</t>
  </si>
  <si>
    <t>Stock</t>
  </si>
  <si>
    <t>NCI</t>
  </si>
  <si>
    <t>Growth</t>
  </si>
  <si>
    <t>The Kroger Co.</t>
  </si>
  <si>
    <t>KR</t>
  </si>
  <si>
    <t>TGT</t>
  </si>
  <si>
    <t xml:space="preserve"> </t>
  </si>
  <si>
    <t>BJ’s Wholesale Club Holdings, Inc.</t>
  </si>
  <si>
    <t>BJ</t>
  </si>
  <si>
    <t>The TJX Companies, Inc.</t>
  </si>
  <si>
    <t>TJX</t>
  </si>
  <si>
    <t xml:space="preserve">Costco Wholesale </t>
  </si>
  <si>
    <t>COST</t>
  </si>
  <si>
    <t>Lowe's Companies, Inc.</t>
  </si>
  <si>
    <t>LOW</t>
  </si>
  <si>
    <t>Best Buy Co. Inc.</t>
  </si>
  <si>
    <t>BBY</t>
  </si>
  <si>
    <t>Valuation Statistics:</t>
  </si>
  <si>
    <t>Enterprise Value /</t>
  </si>
  <si>
    <t>P / E Multiple</t>
  </si>
  <si>
    <t>Implied Enterprise Value (Based on Median LTM EV/EBITDA):</t>
  </si>
  <si>
    <t>($ in Millions Except Per Share and Per Unit Data)</t>
  </si>
  <si>
    <t>DCF Assumptions &amp; Output:</t>
  </si>
  <si>
    <t>Terminal Value - Multiples Method:</t>
  </si>
  <si>
    <t>Terminal Value - Perpetuity Growth Method:</t>
  </si>
  <si>
    <t>Ticker:</t>
  </si>
  <si>
    <t>Median TEV / EBITDA of Comps:</t>
  </si>
  <si>
    <t>Expected Long-Term GDP Growth:</t>
  </si>
  <si>
    <t>Baseline Terminal EBITDA Multiple:</t>
  </si>
  <si>
    <t>Baseline Terminal FCF Growth Rate:</t>
  </si>
  <si>
    <t>Discount Rate (WACC):</t>
  </si>
  <si>
    <t>Effective Tax Rate:</t>
  </si>
  <si>
    <t>Baseline Terminal Value:</t>
  </si>
  <si>
    <t>Implied Terminal FCF Growth Rate:</t>
  </si>
  <si>
    <t>Implied Terminal EBITDA Multiple:</t>
  </si>
  <si>
    <t>Current Equity Value:</t>
  </si>
  <si>
    <t>(+) PV of Terminal Value:</t>
  </si>
  <si>
    <t>(-) Cash &amp; Cash-Equivalents:</t>
  </si>
  <si>
    <t>(+) Sum of PV of Free Cash Flows:</t>
  </si>
  <si>
    <t>(-) Equity Investments:</t>
  </si>
  <si>
    <t>Implied Enterprise Value:</t>
  </si>
  <si>
    <t>(-) Other Non-Core Assets, Net:</t>
  </si>
  <si>
    <t>(-) Net Operating Losses:</t>
  </si>
  <si>
    <t>% of Implied TEV from Terminal Value:</t>
  </si>
  <si>
    <t>(+) Total Debt &amp; Finance Leases:</t>
  </si>
  <si>
    <t>(+) Preferred Stock:</t>
  </si>
  <si>
    <t>(+) Cash &amp; Cash-Equivalents:</t>
  </si>
  <si>
    <t>(+) Noncontrolling Interests:</t>
  </si>
  <si>
    <t>(+) Equity Investments:</t>
  </si>
  <si>
    <t>(+) Unfunded Pension Obligations:</t>
  </si>
  <si>
    <t>(+) Other Non-Core Assets, Net:</t>
  </si>
  <si>
    <t>Current Enterprise Value:</t>
  </si>
  <si>
    <t>(-) Total Debt &amp; Capital Leases:</t>
  </si>
  <si>
    <t>(-) Total Debt:</t>
  </si>
  <si>
    <t>(-) Unfunded Pension Obligations:</t>
  </si>
  <si>
    <t>Implied Share Price from DCF:</t>
  </si>
  <si>
    <t>Historical:</t>
  </si>
  <si>
    <t>Projected:</t>
  </si>
  <si>
    <t>Unlevered Free Cash Flow Projections:</t>
  </si>
  <si>
    <t>Units:</t>
  </si>
  <si>
    <t>Retail Square Feet:</t>
  </si>
  <si>
    <t>M Sq. Ft.</t>
  </si>
  <si>
    <t>Growth Rate:</t>
  </si>
  <si>
    <t>%</t>
  </si>
  <si>
    <t>Sales per Square Foot:</t>
  </si>
  <si>
    <t>$ / Sq. Ft.</t>
  </si>
  <si>
    <t>COGS and OpEx per Square Foot:</t>
  </si>
  <si>
    <t>Maintenance CapEx per Square Foot:</t>
  </si>
  <si>
    <t>D&amp;A per Square Foot:</t>
  </si>
  <si>
    <t>Growth CapEx per New Square Foot:</t>
  </si>
  <si>
    <t>Membership &amp; Other Income Growth Rate:</t>
  </si>
  <si>
    <t>Revenue:</t>
  </si>
  <si>
    <t>(+) Net Sales:</t>
  </si>
  <si>
    <t>$ M</t>
  </si>
  <si>
    <t>(+) Membership &amp; Other Income:</t>
  </si>
  <si>
    <t>Total Revenue:</t>
  </si>
  <si>
    <t>Revenue Growth:</t>
  </si>
  <si>
    <t>Operating Income (EBIT):</t>
  </si>
  <si>
    <t>Operating (EBIT) Margin:</t>
  </si>
  <si>
    <t>(-) Taxes, Excluding Effect of Interest:</t>
  </si>
  <si>
    <t>Net Operating Profit After Tax (NOPAT):</t>
  </si>
  <si>
    <t>Adjustments for Non-Cash Charges:</t>
  </si>
  <si>
    <t>(+) Depreciation &amp; Amortization:</t>
  </si>
  <si>
    <t>% Revenue:</t>
  </si>
  <si>
    <t>(+/-) Deferred Taxes:</t>
  </si>
  <si>
    <t>% Book Taxes:</t>
  </si>
  <si>
    <t>(+/-) Other Operating Activities:</t>
  </si>
  <si>
    <t>(+/-) Change in Working Capital:</t>
  </si>
  <si>
    <t>% Change in Revenue:</t>
  </si>
  <si>
    <t>(-) Capital Expenditures:</t>
  </si>
  <si>
    <t>Annual Unlevered Free Cash Flow:</t>
  </si>
  <si>
    <t>Period:</t>
  </si>
  <si>
    <t>#</t>
  </si>
  <si>
    <t>PV of Unlevered FCF:</t>
  </si>
  <si>
    <t>EBITDA:</t>
  </si>
  <si>
    <t>Sensitivity Tables:</t>
  </si>
  <si>
    <t>Sensitivity - Terminal FCF Growth Rate vs. Discount Rate and Implied Share Price from DCF Analysis:</t>
  </si>
  <si>
    <t>Terminal FCF Growth Rate:</t>
  </si>
  <si>
    <t>Sensitivity - Terminal EBITDA Multiple vs. Discount Rate and Implied Share Price from DCF Analysis:</t>
  </si>
  <si>
    <t>Terminal EBITDA Multiple:</t>
  </si>
  <si>
    <t>Discount Rate Calculations - Assumptions:</t>
  </si>
  <si>
    <t>Risk-Free Rate:</t>
  </si>
  <si>
    <t>Equity Risk Premium:</t>
  </si>
  <si>
    <t>Pre-Tax Cost of Debt:</t>
  </si>
  <si>
    <t>Cost of Preferred Stock:</t>
  </si>
  <si>
    <t>Comparable Companies - Unlevered Beta Calculation:</t>
  </si>
  <si>
    <t>Levered</t>
  </si>
  <si>
    <t>Unlevered</t>
  </si>
  <si>
    <t>Name</t>
  </si>
  <si>
    <t>Beta</t>
  </si>
  <si>
    <t>% Debt</t>
  </si>
  <si>
    <t>% Preferred</t>
  </si>
  <si>
    <t>% Equity</t>
  </si>
  <si>
    <t>Tax Rate</t>
  </si>
  <si>
    <t>Median:</t>
  </si>
  <si>
    <t>Current Capital Structure:</t>
  </si>
  <si>
    <t>"Optimal" Capital Structure:</t>
  </si>
  <si>
    <t>Cost of Equity Based on Comparables, Current Capital Structure:</t>
  </si>
  <si>
    <t>Cost of Equity Based on Comparables, "Optimal" Capital Structure:</t>
  </si>
  <si>
    <t>Cost of Equity Based on Historical Beta:</t>
  </si>
  <si>
    <t>WACC = Cost of Equity * % Equity + Cost of Debt * % Debt * (1 - Tax Rate) + Cost of Preferred Stock * % Preferred Stock</t>
  </si>
  <si>
    <t>WACC, Current Capital Structure:</t>
  </si>
  <si>
    <t>WACC, Current Capital Structure and Historical Cost of Equity:</t>
  </si>
  <si>
    <t>WACC, "Optimal" Capital Structure:</t>
  </si>
  <si>
    <t>Average WACC Produced by All Methods:</t>
  </si>
  <si>
    <t>Implied Share Price from Public-Comps:</t>
  </si>
  <si>
    <t>Public-Comps Summary</t>
  </si>
  <si>
    <t>MA_Comps Summary</t>
  </si>
  <si>
    <t>Implied Share Price from MA_Comps:</t>
  </si>
  <si>
    <t>Announced Between November 2014 and November 2020</t>
  </si>
  <si>
    <t xml:space="preserve">Earnings Before Intersets &amp; Taxes (EBIT): </t>
  </si>
  <si>
    <t xml:space="preserve">Net Operating Progit After Taxes (NOPAT): </t>
  </si>
  <si>
    <t>Unlevered Free Cash Flow (UCF):</t>
  </si>
  <si>
    <t xml:space="preserve">(-) Capital Expenditures: </t>
  </si>
  <si>
    <t>(-) Taxes on EBIT:</t>
  </si>
  <si>
    <t>FY26</t>
  </si>
  <si>
    <t>FY25</t>
  </si>
  <si>
    <t xml:space="preserve">FCF Build-Up: </t>
  </si>
  <si>
    <t xml:space="preserve">(+) D&amp;A: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</si>
</sst>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yyyy\-mm\-dd"/>
    <numFmt numFmtId="165" formatCode="_(#,##0.0%_);\(#,##0.0%\);_(&quot;–&quot;_)_%;_(@_)_%"/>
    <numFmt numFmtId="166" formatCode="_(* #,##0.0_);_(* \(#,##0.0\);_(* &quot;-&quot;?_);_(@_)"/>
    <numFmt numFmtId="167" formatCode="0.0\ \x"/>
    <numFmt numFmtId="168" formatCode="_(&quot;$&quot;* #,##0.0_);_(&quot;$&quot;* \(#,##0.0\);_(&quot;$&quot;* &quot;-&quot;?_);_(@_)"/>
    <numFmt numFmtId="169" formatCode="_(&quot;$&quot;* #,##0.0_);_(&quot;$&quot;* \(#,##0.0\);_(&quot;$&quot;* &quot;-&quot;??_);_(@_)"/>
    <numFmt numFmtId="170" formatCode="_(* #,##0.0_);_(* \(#,##0.0\);_(* &quot;-&quot;??_);_(@_)"/>
    <numFmt numFmtId="171" formatCode="_(&quot;$&quot;* #,##0.00_);_(&quot;$&quot;* \(#,##0.00\);_(&quot;$&quot;* &quot;-&quot;??_);_(@_)"/>
    <numFmt numFmtId="172" formatCode="_(* #,##0.00_);_(* \(#,##0.00\);_(* &quot;-&quot;??_);_(@_)"/>
    <numFmt numFmtId="173" formatCode="_(* #,##0.000_);_(* \(#,##0.000\);_(* &quot;-&quot;???_);_(@_)"/>
    <numFmt numFmtId="174" formatCode="0.0%;\(0.0%\)"/>
    <numFmt numFmtId="175" formatCode="&quot;FY&quot;yy"/>
    <numFmt numFmtId="176" formatCode="&quot;$&quot;#,##0.0_);[Red]\(&quot;$&quot;#,##0.0\)"/>
    <numFmt numFmtId="177" formatCode="_(&quot;$&quot;* #,##0.0_);_(&quot;$&quot;* \(#,##0.0\);_(&quot;$&quot;* &quot;-&quot;_);_(@_)"/>
    <numFmt numFmtId="178" formatCode="_(&quot;$&quot;* #,##0_);_(&quot;$&quot;* \(#,##0\);_(&quot;$&quot;* &quot;-&quot;_);_(@_)"/>
    <numFmt numFmtId="179" formatCode="_(&quot;$&quot;#,##0.00_)_%;\(&quot;$&quot;#,##0.00\)_%;_(&quot;–&quot;_)_%;_(@_)_%"/>
    <numFmt numFmtId="180" formatCode="_(0.0\ \x_);\(0.0\ \x\);_(&quot;–&quot;_);_(@_)"/>
    <numFmt numFmtId="181" formatCode="0.00%;\(0.00%\)"/>
    <numFmt numFmtId="182" formatCode="_(0.0%_);\(0.0%\);_(&quot;–&quot;_)_%;_(@_)_%"/>
    <numFmt numFmtId="183" formatCode="_(&quot;$&quot;* #,##0_);_(&quot;$&quot;* \(#,##0\);_(&quot;$&quot;* &quot;-&quot;??_);_(@_)"/>
    <numFmt numFmtId="184" formatCode="_(&quot;$&quot;* #,##0_);_(&quot;$&quot;* \(#,##0\);_(&quot;$&quot;* &quot;-&quot;?_);_(@_)"/>
    <numFmt numFmtId="185" formatCode="_(* #,##0_);_(* \(#,##0\);_(* &quot;-&quot;?_);_(@_)"/>
    <numFmt numFmtId="186" formatCode="_(* #,##0_);_(* \(#,##0\);_(* &quot;-&quot;_);_(@_)"/>
    <numFmt numFmtId="187" formatCode="_(* #,##0.0_);_(* \(#,##0.0\);_(* &quot;-&quot;???_);_(@_)"/>
    <numFmt numFmtId="188" formatCode="0.0000%"/>
    <numFmt numFmtId="189" formatCode="_(0.00%_);\(0.00%\);_(&quot;–&quot;_)_%;_(@_)_%"/>
    <numFmt numFmtId="190" formatCode="_(#,##0.00_)_%;\(#,##0.00\)_%;_(&quot;–&quot;_)_%;_(@_)_%"/>
    <numFmt numFmtId="191" formatCode="_(#,##0.00_);\(#,##0.00\);_(&quot;–&quot;_);_(@_)"/>
    <numFmt numFmtId="192" formatCode="0.0%"/>
    <numFmt numFmtId="193" formatCode="#,##0.0;\-#,##0.0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indexed="9"/>
      <name val="Calibri"/>
      <family val="2"/>
      <scheme val="minor"/>
    </font>
    <font>
      <b/>
      <u/>
      <sz val="12"/>
      <color indexed="9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indexed="9"/>
      <name val="Calibri"/>
      <family val="2"/>
      <scheme val="minor"/>
    </font>
    <font>
      <sz val="8"/>
      <color indexed="8"/>
      <name val="Arial"/>
      <family val="2"/>
    </font>
    <font>
      <sz val="12"/>
      <color indexed="8"/>
      <name val="Calibri"/>
      <family val="2"/>
      <scheme val="minor"/>
    </font>
    <font>
      <sz val="12"/>
      <color rgb="FF0000FF"/>
      <name val="Calibri"/>
      <family val="2"/>
      <scheme val="minor"/>
    </font>
    <font>
      <b/>
      <sz val="1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2"/>
      <color indexed="9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B05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2"/>
      <color theme="0"/>
      <name val="Calibri"/>
      <family val="2"/>
      <scheme val="minor"/>
    </font>
    <font>
      <i/>
      <sz val="12"/>
      <color theme="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12"/>
      <color rgb="FF0000FF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i/>
      <sz val="12"/>
      <color theme="1"/>
      <name val="Calibri"/>
      <family val="2"/>
    </font>
    <font>
      <sz val="12"/>
      <name val="Calibri"/>
      <family val="2"/>
    </font>
    <font>
      <sz val="12"/>
      <color theme="4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FFFFFF"/>
      <name val="Calibri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/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mediumDashed">
        <color rgb="FFFF000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rgb="FFB2B2B2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10">
    <xf numFmtId="0" fontId="0" fillId="0" borderId="0"/>
    <xf numFmtId="0" fontId="2" fillId="0" borderId="0"/>
    <xf numFmtId="0" fontId="10" fillId="0" borderId="0" applyAlignment="0"/>
    <xf numFmtId="0" fontId="14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5" fillId="0" borderId="0"/>
    <xf numFmtId="0" fontId="29" fillId="6" borderId="1" applyNumberFormat="0" applyAlignment="0" applyProtection="0"/>
    <xf numFmtId="9" fontId="1" fillId="0" borderId="0" applyFont="0" applyFill="0" applyBorder="0" applyAlignment="0" applyProtection="0"/>
  </cellStyleXfs>
  <cellXfs count="340">
    <xf numFmtId="0" fontId="0" fillId="0" borderId="0" xfId="0"/>
    <xf numFmtId="49" fontId="3" fillId="0" borderId="0" xfId="1" applyNumberFormat="1" applyFont="1"/>
    <xf numFmtId="0" fontId="4" fillId="0" borderId="0" xfId="1" applyFont="1"/>
    <xf numFmtId="0" fontId="5" fillId="0" borderId="0" xfId="0" applyFont="1"/>
    <xf numFmtId="0" fontId="6" fillId="2" borderId="0" xfId="1" applyFont="1" applyFill="1"/>
    <xf numFmtId="0" fontId="6" fillId="2" borderId="0" xfId="1" applyFont="1" applyFill="1" applyAlignment="1">
      <alignment horizontal="center"/>
    </xf>
    <xf numFmtId="0" fontId="7" fillId="2" borderId="0" xfId="1" applyFont="1" applyFill="1" applyAlignment="1">
      <alignment horizontal="centerContinuous"/>
    </xf>
    <xf numFmtId="0" fontId="8" fillId="0" borderId="0" xfId="1" applyFont="1"/>
    <xf numFmtId="0" fontId="9" fillId="2" borderId="0" xfId="1" applyFont="1" applyFill="1"/>
    <xf numFmtId="0" fontId="6" fillId="2" borderId="2" xfId="1" applyFont="1" applyFill="1" applyBorder="1" applyAlignment="1">
      <alignment horizontal="center"/>
    </xf>
    <xf numFmtId="0" fontId="8" fillId="0" borderId="0" xfId="0" applyFont="1"/>
    <xf numFmtId="0" fontId="4" fillId="0" borderId="0" xfId="0" applyFont="1"/>
    <xf numFmtId="164" fontId="11" fillId="0" borderId="0" xfId="2" applyNumberFormat="1" applyFont="1" applyAlignment="1">
      <alignment horizontal="center" vertical="top"/>
    </xf>
    <xf numFmtId="165" fontId="12" fillId="0" borderId="0" xfId="1" applyNumberFormat="1" applyFont="1" applyAlignment="1">
      <alignment horizontal="center"/>
    </xf>
    <xf numFmtId="166" fontId="12" fillId="0" borderId="0" xfId="0" applyNumberFormat="1" applyFont="1"/>
    <xf numFmtId="167" fontId="4" fillId="0" borderId="0" xfId="1" applyNumberFormat="1" applyFont="1"/>
    <xf numFmtId="0" fontId="5" fillId="0" borderId="0" xfId="0" quotePrefix="1" applyFont="1"/>
    <xf numFmtId="168" fontId="0" fillId="0" borderId="0" xfId="0" applyNumberFormat="1"/>
    <xf numFmtId="0" fontId="4" fillId="0" borderId="3" xfId="1" applyFont="1" applyBorder="1"/>
    <xf numFmtId="0" fontId="4" fillId="0" borderId="4" xfId="1" applyFont="1" applyBorder="1" applyAlignment="1">
      <alignment horizontal="right"/>
    </xf>
    <xf numFmtId="169" fontId="4" fillId="0" borderId="4" xfId="1" applyNumberFormat="1" applyFont="1" applyBorder="1"/>
    <xf numFmtId="167" fontId="4" fillId="0" borderId="4" xfId="1" applyNumberFormat="1" applyFont="1" applyBorder="1"/>
    <xf numFmtId="167" fontId="4" fillId="0" borderId="5" xfId="1" applyNumberFormat="1" applyFont="1" applyBorder="1"/>
    <xf numFmtId="0" fontId="4" fillId="0" borderId="6" xfId="1" applyFont="1" applyBorder="1"/>
    <xf numFmtId="0" fontId="4" fillId="0" borderId="0" xfId="1" applyFont="1" applyAlignment="1">
      <alignment horizontal="right"/>
    </xf>
    <xf numFmtId="170" fontId="4" fillId="0" borderId="0" xfId="1" applyNumberFormat="1" applyFont="1"/>
    <xf numFmtId="167" fontId="4" fillId="0" borderId="7" xfId="1" applyNumberFormat="1" applyFont="1" applyBorder="1"/>
    <xf numFmtId="0" fontId="13" fillId="3" borderId="8" xfId="1" applyFont="1" applyFill="1" applyBorder="1"/>
    <xf numFmtId="0" fontId="13" fillId="3" borderId="9" xfId="1" applyFont="1" applyFill="1" applyBorder="1" applyAlignment="1">
      <alignment horizontal="right"/>
    </xf>
    <xf numFmtId="166" fontId="13" fillId="3" borderId="9" xfId="1" applyNumberFormat="1" applyFont="1" applyFill="1" applyBorder="1"/>
    <xf numFmtId="167" fontId="13" fillId="3" borderId="9" xfId="1" applyNumberFormat="1" applyFont="1" applyFill="1" applyBorder="1"/>
    <xf numFmtId="167" fontId="13" fillId="3" borderId="10" xfId="1" applyNumberFormat="1" applyFont="1" applyFill="1" applyBorder="1"/>
    <xf numFmtId="0" fontId="4" fillId="0" borderId="11" xfId="1" applyFont="1" applyBorder="1"/>
    <xf numFmtId="0" fontId="4" fillId="0" borderId="2" xfId="1" applyFont="1" applyBorder="1" applyAlignment="1">
      <alignment horizontal="right"/>
    </xf>
    <xf numFmtId="170" fontId="4" fillId="0" borderId="2" xfId="1" applyNumberFormat="1" applyFont="1" applyBorder="1"/>
    <xf numFmtId="167" fontId="4" fillId="0" borderId="2" xfId="1" applyNumberFormat="1" applyFont="1" applyBorder="1"/>
    <xf numFmtId="167" fontId="4" fillId="0" borderId="12" xfId="1" applyNumberFormat="1" applyFont="1" applyBorder="1"/>
    <xf numFmtId="9" fontId="0" fillId="0" borderId="0" xfId="0" applyNumberFormat="1"/>
    <xf numFmtId="0" fontId="15" fillId="0" borderId="0" xfId="3" applyFont="1" applyFill="1" applyBorder="1"/>
    <xf numFmtId="0" fontId="5" fillId="0" borderId="0" xfId="4" applyFont="1"/>
    <xf numFmtId="0" fontId="18" fillId="2" borderId="0" xfId="1" applyFont="1" applyFill="1" applyAlignment="1">
      <alignment horizontal="centerContinuous"/>
    </xf>
    <xf numFmtId="0" fontId="6" fillId="2" borderId="2" xfId="1" applyFont="1" applyFill="1" applyBorder="1"/>
    <xf numFmtId="0" fontId="19" fillId="0" borderId="0" xfId="0" applyFont="1"/>
    <xf numFmtId="0" fontId="5" fillId="0" borderId="0" xfId="0" applyFont="1" applyAlignment="1">
      <alignment horizontal="left" indent="1"/>
    </xf>
    <xf numFmtId="167" fontId="20" fillId="0" borderId="0" xfId="0" applyNumberFormat="1" applyFont="1"/>
    <xf numFmtId="168" fontId="20" fillId="0" borderId="0" xfId="0" applyNumberFormat="1" applyFont="1"/>
    <xf numFmtId="166" fontId="20" fillId="0" borderId="0" xfId="0" applyNumberFormat="1" applyFont="1"/>
    <xf numFmtId="171" fontId="5" fillId="0" borderId="0" xfId="0" applyNumberFormat="1" applyFont="1"/>
    <xf numFmtId="172" fontId="5" fillId="0" borderId="0" xfId="0" applyNumberFormat="1" applyFont="1"/>
    <xf numFmtId="0" fontId="13" fillId="4" borderId="2" xfId="1" applyFont="1" applyFill="1" applyBorder="1"/>
    <xf numFmtId="0" fontId="5" fillId="4" borderId="2" xfId="0" applyFont="1" applyFill="1" applyBorder="1"/>
    <xf numFmtId="168" fontId="19" fillId="4" borderId="2" xfId="0" applyNumberFormat="1" applyFont="1" applyFill="1" applyBorder="1"/>
    <xf numFmtId="0" fontId="19" fillId="4" borderId="2" xfId="4" applyFont="1" applyFill="1" applyBorder="1" applyAlignment="1">
      <alignment horizontal="centerContinuous"/>
    </xf>
    <xf numFmtId="0" fontId="5" fillId="4" borderId="2" xfId="4" applyFont="1" applyFill="1" applyBorder="1" applyAlignment="1">
      <alignment horizontal="centerContinuous"/>
    </xf>
    <xf numFmtId="0" fontId="4" fillId="0" borderId="0" xfId="1" applyFont="1" applyAlignment="1">
      <alignment horizontal="left" indent="1"/>
    </xf>
    <xf numFmtId="168" fontId="5" fillId="0" borderId="0" xfId="0" applyNumberFormat="1" applyFont="1"/>
    <xf numFmtId="166" fontId="5" fillId="0" borderId="0" xfId="0" applyNumberFormat="1" applyFont="1"/>
    <xf numFmtId="166" fontId="12" fillId="0" borderId="2" xfId="0" applyNumberFormat="1" applyFont="1" applyBorder="1"/>
    <xf numFmtId="0" fontId="13" fillId="4" borderId="4" xfId="1" applyFont="1" applyFill="1" applyBorder="1" applyAlignment="1">
      <alignment horizontal="left"/>
    </xf>
    <xf numFmtId="0" fontId="4" fillId="4" borderId="4" xfId="1" applyFont="1" applyFill="1" applyBorder="1"/>
    <xf numFmtId="166" fontId="13" fillId="4" borderId="0" xfId="1" applyNumberFormat="1" applyFont="1" applyFill="1"/>
    <xf numFmtId="173" fontId="12" fillId="0" borderId="0" xfId="0" applyNumberFormat="1" applyFont="1"/>
    <xf numFmtId="0" fontId="13" fillId="5" borderId="3" xfId="1" applyFont="1" applyFill="1" applyBorder="1"/>
    <xf numFmtId="0" fontId="4" fillId="5" borderId="4" xfId="1" applyFont="1" applyFill="1" applyBorder="1"/>
    <xf numFmtId="171" fontId="13" fillId="5" borderId="5" xfId="1" applyNumberFormat="1" applyFont="1" applyFill="1" applyBorder="1"/>
    <xf numFmtId="0" fontId="13" fillId="5" borderId="11" xfId="1" applyFont="1" applyFill="1" applyBorder="1"/>
    <xf numFmtId="0" fontId="4" fillId="5" borderId="2" xfId="1" applyFont="1" applyFill="1" applyBorder="1"/>
    <xf numFmtId="174" fontId="13" fillId="5" borderId="12" xfId="1" applyNumberFormat="1" applyFont="1" applyFill="1" applyBorder="1"/>
    <xf numFmtId="0" fontId="22" fillId="0" borderId="0" xfId="1" applyFont="1" applyAlignment="1">
      <alignment horizontal="center"/>
    </xf>
    <xf numFmtId="0" fontId="3" fillId="0" borderId="0" xfId="1" applyFont="1"/>
    <xf numFmtId="0" fontId="13" fillId="0" borderId="0" xfId="1" applyFont="1"/>
    <xf numFmtId="1" fontId="4" fillId="0" borderId="0" xfId="1" applyNumberFormat="1" applyFont="1"/>
    <xf numFmtId="0" fontId="6" fillId="2" borderId="0" xfId="6" applyFont="1" applyFill="1" applyAlignment="1">
      <alignment horizontal="left"/>
    </xf>
    <xf numFmtId="0" fontId="9" fillId="2" borderId="0" xfId="1" applyFont="1" applyFill="1" applyAlignment="1">
      <alignment horizontal="centerContinuous"/>
    </xf>
    <xf numFmtId="14" fontId="6" fillId="2" borderId="2" xfId="1" applyNumberFormat="1" applyFont="1" applyFill="1" applyBorder="1" applyAlignment="1">
      <alignment horizontal="center"/>
    </xf>
    <xf numFmtId="175" fontId="23" fillId="7" borderId="2" xfId="0" applyNumberFormat="1" applyFont="1" applyFill="1" applyBorder="1" applyAlignment="1">
      <alignment horizontal="center"/>
    </xf>
    <xf numFmtId="171" fontId="12" fillId="0" borderId="0" xfId="1" applyNumberFormat="1" applyFont="1"/>
    <xf numFmtId="166" fontId="12" fillId="0" borderId="0" xfId="1" applyNumberFormat="1" applyFont="1"/>
    <xf numFmtId="168" fontId="5" fillId="0" borderId="0" xfId="1" applyNumberFormat="1" applyFont="1"/>
    <xf numFmtId="168" fontId="12" fillId="0" borderId="0" xfId="1" applyNumberFormat="1" applyFont="1"/>
    <xf numFmtId="165" fontId="5" fillId="0" borderId="0" xfId="1" applyNumberFormat="1" applyFont="1"/>
    <xf numFmtId="0" fontId="24" fillId="0" borderId="0" xfId="0" applyFont="1"/>
    <xf numFmtId="172" fontId="12" fillId="0" borderId="0" xfId="1" applyNumberFormat="1" applyFont="1"/>
    <xf numFmtId="166" fontId="4" fillId="0" borderId="0" xfId="1" applyNumberFormat="1" applyFont="1"/>
    <xf numFmtId="165" fontId="4" fillId="0" borderId="0" xfId="1" applyNumberFormat="1" applyFont="1"/>
    <xf numFmtId="176" fontId="0" fillId="0" borderId="0" xfId="0" applyNumberFormat="1"/>
    <xf numFmtId="0" fontId="4" fillId="0" borderId="4" xfId="1" applyFont="1" applyBorder="1"/>
    <xf numFmtId="171" fontId="4" fillId="0" borderId="4" xfId="1" applyNumberFormat="1" applyFont="1" applyBorder="1"/>
    <xf numFmtId="165" fontId="4" fillId="0" borderId="4" xfId="1" applyNumberFormat="1" applyFont="1" applyBorder="1"/>
    <xf numFmtId="165" fontId="4" fillId="0" borderId="5" xfId="1" applyNumberFormat="1" applyFont="1" applyBorder="1"/>
    <xf numFmtId="172" fontId="4" fillId="0" borderId="0" xfId="1" applyNumberFormat="1" applyFont="1"/>
    <xf numFmtId="165" fontId="4" fillId="0" borderId="7" xfId="1" applyNumberFormat="1" applyFont="1" applyBorder="1"/>
    <xf numFmtId="0" fontId="13" fillId="3" borderId="9" xfId="1" applyFont="1" applyFill="1" applyBorder="1"/>
    <xf numFmtId="171" fontId="13" fillId="3" borderId="9" xfId="1" applyNumberFormat="1" applyFont="1" applyFill="1" applyBorder="1"/>
    <xf numFmtId="169" fontId="13" fillId="3" borderId="9" xfId="1" applyNumberFormat="1" applyFont="1" applyFill="1" applyBorder="1"/>
    <xf numFmtId="165" fontId="13" fillId="3" borderId="9" xfId="1" applyNumberFormat="1" applyFont="1" applyFill="1" applyBorder="1"/>
    <xf numFmtId="165" fontId="13" fillId="3" borderId="10" xfId="1" applyNumberFormat="1" applyFont="1" applyFill="1" applyBorder="1"/>
    <xf numFmtId="0" fontId="13" fillId="0" borderId="2" xfId="1" applyFont="1" applyBorder="1"/>
    <xf numFmtId="172" fontId="4" fillId="0" borderId="2" xfId="1" applyNumberFormat="1" applyFont="1" applyBorder="1"/>
    <xf numFmtId="165" fontId="4" fillId="0" borderId="2" xfId="1" applyNumberFormat="1" applyFont="1" applyBorder="1"/>
    <xf numFmtId="165" fontId="4" fillId="0" borderId="12" xfId="1" applyNumberFormat="1" applyFont="1" applyBorder="1"/>
    <xf numFmtId="0" fontId="23" fillId="8" borderId="8" xfId="1" applyFont="1" applyFill="1" applyBorder="1"/>
    <xf numFmtId="0" fontId="23" fillId="8" borderId="9" xfId="1" applyFont="1" applyFill="1" applyBorder="1"/>
    <xf numFmtId="171" fontId="23" fillId="8" borderId="9" xfId="1" applyNumberFormat="1" applyFont="1" applyFill="1" applyBorder="1"/>
    <xf numFmtId="170" fontId="23" fillId="8" borderId="9" xfId="1" applyNumberFormat="1" applyFont="1" applyFill="1" applyBorder="1"/>
    <xf numFmtId="168" fontId="23" fillId="8" borderId="9" xfId="1" applyNumberFormat="1" applyFont="1" applyFill="1" applyBorder="1"/>
    <xf numFmtId="165" fontId="23" fillId="8" borderId="9" xfId="1" applyNumberFormat="1" applyFont="1" applyFill="1" applyBorder="1"/>
    <xf numFmtId="0" fontId="4" fillId="0" borderId="0" xfId="1" applyFont="1" applyAlignment="1">
      <alignment horizontal="center"/>
    </xf>
    <xf numFmtId="0" fontId="13" fillId="0" borderId="0" xfId="1" applyFont="1" applyAlignment="1">
      <alignment horizontal="center"/>
    </xf>
    <xf numFmtId="168" fontId="4" fillId="0" borderId="0" xfId="1" applyNumberFormat="1" applyFont="1"/>
    <xf numFmtId="177" fontId="23" fillId="8" borderId="9" xfId="1" applyNumberFormat="1" applyFont="1" applyFill="1" applyBorder="1"/>
    <xf numFmtId="178" fontId="23" fillId="8" borderId="9" xfId="1" applyNumberFormat="1" applyFont="1" applyFill="1" applyBorder="1"/>
    <xf numFmtId="167" fontId="23" fillId="8" borderId="9" xfId="1" applyNumberFormat="1" applyFont="1" applyFill="1" applyBorder="1"/>
    <xf numFmtId="167" fontId="23" fillId="8" borderId="0" xfId="1" applyNumberFormat="1" applyFont="1" applyFill="1"/>
    <xf numFmtId="167" fontId="23" fillId="8" borderId="13" xfId="1" applyNumberFormat="1" applyFont="1" applyFill="1" applyBorder="1"/>
    <xf numFmtId="179" fontId="4" fillId="0" borderId="0" xfId="1" applyNumberFormat="1" applyFont="1"/>
    <xf numFmtId="0" fontId="5" fillId="0" borderId="0" xfId="7" applyFont="1"/>
    <xf numFmtId="0" fontId="21" fillId="0" borderId="0" xfId="7" applyFont="1"/>
    <xf numFmtId="0" fontId="26" fillId="0" borderId="0" xfId="7" applyFont="1"/>
    <xf numFmtId="0" fontId="27" fillId="0" borderId="0" xfId="7" applyFont="1"/>
    <xf numFmtId="166" fontId="27" fillId="0" borderId="0" xfId="7" applyNumberFormat="1" applyFont="1"/>
    <xf numFmtId="164" fontId="27" fillId="0" borderId="0" xfId="7" applyNumberFormat="1" applyFont="1"/>
    <xf numFmtId="0" fontId="5" fillId="7" borderId="0" xfId="7" applyFont="1" applyFill="1"/>
    <xf numFmtId="0" fontId="21" fillId="7" borderId="0" xfId="7" applyFont="1" applyFill="1"/>
    <xf numFmtId="0" fontId="6" fillId="7" borderId="2" xfId="7" applyFont="1" applyFill="1" applyBorder="1" applyAlignment="1">
      <alignment horizontal="left"/>
    </xf>
    <xf numFmtId="0" fontId="7" fillId="7" borderId="2" xfId="7" applyFont="1" applyFill="1" applyBorder="1" applyAlignment="1">
      <alignment horizontal="left"/>
    </xf>
    <xf numFmtId="174" fontId="21" fillId="0" borderId="0" xfId="7" applyNumberFormat="1" applyFont="1"/>
    <xf numFmtId="0" fontId="28" fillId="0" borderId="0" xfId="7" applyFont="1" applyAlignment="1">
      <alignment horizontal="left"/>
    </xf>
    <xf numFmtId="49" fontId="12" fillId="6" borderId="1" xfId="8" applyNumberFormat="1" applyFont="1" applyAlignment="1">
      <alignment horizontal="center"/>
    </xf>
    <xf numFmtId="0" fontId="19" fillId="4" borderId="2" xfId="7" applyFont="1" applyFill="1" applyBorder="1"/>
    <xf numFmtId="0" fontId="5" fillId="4" borderId="2" xfId="7" applyFont="1" applyFill="1" applyBorder="1"/>
    <xf numFmtId="171" fontId="12" fillId="6" borderId="1" xfId="8" applyNumberFormat="1" applyFont="1" applyAlignment="1">
      <alignment horizontal="center"/>
    </xf>
    <xf numFmtId="0" fontId="28" fillId="0" borderId="0" xfId="1" applyFont="1"/>
    <xf numFmtId="180" fontId="12" fillId="6" borderId="14" xfId="7" applyNumberFormat="1" applyFont="1" applyFill="1" applyBorder="1" applyAlignment="1">
      <alignment horizontal="center"/>
    </xf>
    <xf numFmtId="181" fontId="12" fillId="6" borderId="14" xfId="7" applyNumberFormat="1" applyFont="1" applyFill="1" applyBorder="1" applyAlignment="1">
      <alignment horizontal="center"/>
    </xf>
    <xf numFmtId="168" fontId="30" fillId="0" borderId="0" xfId="1" applyNumberFormat="1" applyFont="1"/>
    <xf numFmtId="168" fontId="13" fillId="0" borderId="0" xfId="1" applyNumberFormat="1" applyFont="1"/>
    <xf numFmtId="181" fontId="20" fillId="6" borderId="1" xfId="8" applyNumberFormat="1" applyFont="1" applyAlignment="1">
      <alignment horizontal="center"/>
    </xf>
    <xf numFmtId="0" fontId="5" fillId="0" borderId="15" xfId="7" applyFont="1" applyBorder="1"/>
    <xf numFmtId="182" fontId="31" fillId="6" borderId="1" xfId="8" applyNumberFormat="1" applyFont="1" applyAlignment="1">
      <alignment horizontal="center"/>
    </xf>
    <xf numFmtId="183" fontId="28" fillId="0" borderId="0" xfId="7" applyNumberFormat="1" applyFont="1"/>
    <xf numFmtId="184" fontId="28" fillId="0" borderId="0" xfId="7" applyNumberFormat="1" applyFont="1"/>
    <xf numFmtId="0" fontId="28" fillId="0" borderId="0" xfId="7" applyFont="1"/>
    <xf numFmtId="164" fontId="12" fillId="6" borderId="1" xfId="7" applyNumberFormat="1" applyFont="1" applyFill="1" applyBorder="1" applyAlignment="1">
      <alignment horizontal="center"/>
    </xf>
    <xf numFmtId="181" fontId="28" fillId="0" borderId="0" xfId="1" applyNumberFormat="1" applyFont="1" applyAlignment="1">
      <alignment horizontal="center"/>
    </xf>
    <xf numFmtId="167" fontId="28" fillId="0" borderId="0" xfId="1" applyNumberFormat="1" applyFont="1" applyAlignment="1">
      <alignment horizontal="center"/>
    </xf>
    <xf numFmtId="0" fontId="13" fillId="4" borderId="2" xfId="1" applyFont="1" applyFill="1" applyBorder="1" applyAlignment="1">
      <alignment horizontal="left"/>
    </xf>
    <xf numFmtId="184" fontId="13" fillId="4" borderId="2" xfId="7" applyNumberFormat="1" applyFont="1" applyFill="1" applyBorder="1"/>
    <xf numFmtId="0" fontId="28" fillId="0" borderId="0" xfId="1" applyFont="1" applyAlignment="1">
      <alignment horizontal="left" indent="1"/>
    </xf>
    <xf numFmtId="185" fontId="28" fillId="0" borderId="0" xfId="7" applyNumberFormat="1" applyFont="1"/>
    <xf numFmtId="185" fontId="12" fillId="0" borderId="0" xfId="7" applyNumberFormat="1" applyFont="1"/>
    <xf numFmtId="0" fontId="28" fillId="0" borderId="2" xfId="1" applyFont="1" applyBorder="1" applyAlignment="1">
      <alignment horizontal="left" indent="1"/>
    </xf>
    <xf numFmtId="0" fontId="8" fillId="0" borderId="2" xfId="1" applyFont="1" applyBorder="1"/>
    <xf numFmtId="185" fontId="28" fillId="0" borderId="2" xfId="7" applyNumberFormat="1" applyFont="1" applyBorder="1"/>
    <xf numFmtId="0" fontId="4" fillId="0" borderId="2" xfId="1" applyFont="1" applyBorder="1"/>
    <xf numFmtId="0" fontId="28" fillId="0" borderId="0" xfId="7" applyFont="1" applyAlignment="1">
      <alignment horizontal="left" indent="1"/>
    </xf>
    <xf numFmtId="0" fontId="13" fillId="4" borderId="0" xfId="1" applyFont="1" applyFill="1"/>
    <xf numFmtId="0" fontId="8" fillId="4" borderId="0" xfId="1" applyFont="1" applyFill="1"/>
    <xf numFmtId="186" fontId="32" fillId="4" borderId="0" xfId="7" applyNumberFormat="1" applyFont="1" applyFill="1"/>
    <xf numFmtId="0" fontId="4" fillId="4" borderId="0" xfId="1" applyFont="1" applyFill="1"/>
    <xf numFmtId="186" fontId="19" fillId="4" borderId="0" xfId="7" applyNumberFormat="1" applyFont="1" applyFill="1"/>
    <xf numFmtId="0" fontId="33" fillId="0" borderId="0" xfId="1" applyFont="1"/>
    <xf numFmtId="174" fontId="33" fillId="0" borderId="0" xfId="1" applyNumberFormat="1" applyFont="1"/>
    <xf numFmtId="0" fontId="22" fillId="0" borderId="0" xfId="1" applyFont="1"/>
    <xf numFmtId="174" fontId="22" fillId="0" borderId="0" xfId="1" applyNumberFormat="1" applyFont="1"/>
    <xf numFmtId="186" fontId="28" fillId="0" borderId="0" xfId="7" applyNumberFormat="1" applyFont="1"/>
    <xf numFmtId="185" fontId="4" fillId="0" borderId="0" xfId="7" applyNumberFormat="1" applyFont="1"/>
    <xf numFmtId="0" fontId="8" fillId="0" borderId="0" xfId="7" applyFont="1"/>
    <xf numFmtId="0" fontId="5" fillId="0" borderId="0" xfId="7" applyFont="1" applyAlignment="1">
      <alignment horizontal="left" indent="1"/>
    </xf>
    <xf numFmtId="178" fontId="13" fillId="4" borderId="4" xfId="1" applyNumberFormat="1" applyFont="1" applyFill="1" applyBorder="1"/>
    <xf numFmtId="185" fontId="4" fillId="0" borderId="2" xfId="7" applyNumberFormat="1" applyFont="1" applyBorder="1"/>
    <xf numFmtId="0" fontId="8" fillId="4" borderId="4" xfId="1" applyFont="1" applyFill="1" applyBorder="1"/>
    <xf numFmtId="185" fontId="32" fillId="4" borderId="0" xfId="1" applyNumberFormat="1" applyFont="1" applyFill="1"/>
    <xf numFmtId="187" fontId="12" fillId="0" borderId="0" xfId="7" applyNumberFormat="1" applyFont="1"/>
    <xf numFmtId="187" fontId="4" fillId="0" borderId="0" xfId="7" applyNumberFormat="1" applyFont="1"/>
    <xf numFmtId="171" fontId="8" fillId="0" borderId="0" xfId="1" applyNumberFormat="1" applyFont="1"/>
    <xf numFmtId="181" fontId="12" fillId="0" borderId="0" xfId="8" applyNumberFormat="1" applyFont="1" applyFill="1" applyBorder="1" applyAlignment="1">
      <alignment horizontal="center"/>
    </xf>
    <xf numFmtId="0" fontId="8" fillId="5" borderId="4" xfId="1" applyFont="1" applyFill="1" applyBorder="1"/>
    <xf numFmtId="171" fontId="32" fillId="5" borderId="5" xfId="1" applyNumberFormat="1" applyFont="1" applyFill="1" applyBorder="1"/>
    <xf numFmtId="0" fontId="8" fillId="5" borderId="2" xfId="1" applyFont="1" applyFill="1" applyBorder="1"/>
    <xf numFmtId="174" fontId="32" fillId="5" borderId="12" xfId="1" applyNumberFormat="1" applyFont="1" applyFill="1" applyBorder="1"/>
    <xf numFmtId="0" fontId="34" fillId="7" borderId="0" xfId="7" applyFont="1" applyFill="1"/>
    <xf numFmtId="0" fontId="35" fillId="7" borderId="0" xfId="7" applyFont="1" applyFill="1"/>
    <xf numFmtId="0" fontId="23" fillId="7" borderId="16" xfId="7" applyFont="1" applyFill="1" applyBorder="1" applyAlignment="1">
      <alignment horizontal="centerContinuous"/>
    </xf>
    <xf numFmtId="0" fontId="23" fillId="7" borderId="17" xfId="7" applyFont="1" applyFill="1" applyBorder="1" applyAlignment="1">
      <alignment horizontal="centerContinuous"/>
    </xf>
    <xf numFmtId="0" fontId="5" fillId="0" borderId="18" xfId="7" applyFont="1" applyBorder="1"/>
    <xf numFmtId="0" fontId="23" fillId="7" borderId="2" xfId="7" applyFont="1" applyFill="1" applyBorder="1"/>
    <xf numFmtId="0" fontId="36" fillId="7" borderId="2" xfId="7" applyFont="1" applyFill="1" applyBorder="1" applyAlignment="1">
      <alignment horizontal="center"/>
    </xf>
    <xf numFmtId="175" fontId="23" fillId="7" borderId="2" xfId="7" applyNumberFormat="1" applyFont="1" applyFill="1" applyBorder="1" applyAlignment="1">
      <alignment horizontal="center"/>
    </xf>
    <xf numFmtId="175" fontId="23" fillId="7" borderId="19" xfId="7" applyNumberFormat="1" applyFont="1" applyFill="1" applyBorder="1" applyAlignment="1">
      <alignment horizontal="center"/>
    </xf>
    <xf numFmtId="0" fontId="23" fillId="0" borderId="0" xfId="7" applyFont="1"/>
    <xf numFmtId="0" fontId="36" fillId="0" borderId="0" xfId="7" applyFont="1" applyAlignment="1">
      <alignment horizontal="center"/>
    </xf>
    <xf numFmtId="175" fontId="23" fillId="0" borderId="0" xfId="7" applyNumberFormat="1" applyFont="1" applyAlignment="1">
      <alignment horizontal="center"/>
    </xf>
    <xf numFmtId="0" fontId="33" fillId="0" borderId="0" xfId="7" applyFont="1" applyAlignment="1">
      <alignment horizontal="left" indent="1"/>
    </xf>
    <xf numFmtId="37" fontId="12" fillId="0" borderId="0" xfId="7" applyNumberFormat="1" applyFont="1"/>
    <xf numFmtId="0" fontId="5" fillId="0" borderId="0" xfId="7" applyFont="1" applyAlignment="1">
      <alignment horizontal="center"/>
    </xf>
    <xf numFmtId="182" fontId="28" fillId="0" borderId="0" xfId="7" applyNumberFormat="1" applyFont="1"/>
    <xf numFmtId="182" fontId="37" fillId="6" borderId="1" xfId="8" applyNumberFormat="1" applyFont="1" applyAlignment="1">
      <alignment horizontal="center"/>
    </xf>
    <xf numFmtId="172" fontId="28" fillId="0" borderId="0" xfId="7" applyNumberFormat="1" applyFont="1"/>
    <xf numFmtId="172" fontId="37" fillId="6" borderId="1" xfId="8" applyNumberFormat="1" applyFont="1" applyAlignment="1">
      <alignment horizontal="center"/>
    </xf>
    <xf numFmtId="0" fontId="32" fillId="0" borderId="0" xfId="7" applyFont="1" applyAlignment="1">
      <alignment horizontal="left"/>
    </xf>
    <xf numFmtId="0" fontId="33" fillId="0" borderId="0" xfId="7" applyFont="1" applyAlignment="1">
      <alignment horizontal="center"/>
    </xf>
    <xf numFmtId="178" fontId="12" fillId="0" borderId="0" xfId="7" applyNumberFormat="1" applyFont="1"/>
    <xf numFmtId="178" fontId="4" fillId="0" borderId="0" xfId="7" applyNumberFormat="1" applyFont="1"/>
    <xf numFmtId="0" fontId="33" fillId="0" borderId="2" xfId="7" applyFont="1" applyBorder="1" applyAlignment="1">
      <alignment horizontal="center"/>
    </xf>
    <xf numFmtId="186" fontId="12" fillId="0" borderId="0" xfId="7" applyNumberFormat="1" applyFont="1"/>
    <xf numFmtId="186" fontId="4" fillId="0" borderId="0" xfId="7" applyNumberFormat="1" applyFont="1"/>
    <xf numFmtId="0" fontId="32" fillId="0" borderId="4" xfId="7" applyFont="1" applyBorder="1"/>
    <xf numFmtId="186" fontId="32" fillId="0" borderId="4" xfId="7" applyNumberFormat="1" applyFont="1" applyBorder="1"/>
    <xf numFmtId="182" fontId="33" fillId="0" borderId="0" xfId="7" applyNumberFormat="1" applyFont="1"/>
    <xf numFmtId="0" fontId="21" fillId="0" borderId="0" xfId="7" applyFont="1" applyAlignment="1">
      <alignment horizontal="center"/>
    </xf>
    <xf numFmtId="0" fontId="21" fillId="0" borderId="0" xfId="7" applyFont="1" applyAlignment="1">
      <alignment horizontal="left" indent="1"/>
    </xf>
    <xf numFmtId="182" fontId="21" fillId="0" borderId="0" xfId="7" applyNumberFormat="1" applyFont="1"/>
    <xf numFmtId="0" fontId="38" fillId="0" borderId="0" xfId="7" applyFont="1"/>
    <xf numFmtId="0" fontId="39" fillId="0" borderId="0" xfId="7" applyFont="1"/>
    <xf numFmtId="186" fontId="19" fillId="0" borderId="0" xfId="7" applyNumberFormat="1" applyFont="1"/>
    <xf numFmtId="0" fontId="38" fillId="0" borderId="0" xfId="7" applyFont="1" applyAlignment="1">
      <alignment horizontal="left" indent="1"/>
    </xf>
    <xf numFmtId="0" fontId="40" fillId="0" borderId="0" xfId="7" applyFont="1" applyAlignment="1">
      <alignment horizontal="left" indent="2"/>
    </xf>
    <xf numFmtId="186" fontId="20" fillId="0" borderId="0" xfId="7" applyNumberFormat="1" applyFont="1"/>
    <xf numFmtId="0" fontId="38" fillId="0" borderId="0" xfId="7" applyFont="1" applyAlignment="1">
      <alignment horizontal="left" indent="2"/>
    </xf>
    <xf numFmtId="182" fontId="5" fillId="0" borderId="0" xfId="7" applyNumberFormat="1" applyFont="1"/>
    <xf numFmtId="182" fontId="41" fillId="6" borderId="1" xfId="8" applyNumberFormat="1" applyFont="1" applyAlignment="1">
      <alignment horizontal="center"/>
    </xf>
    <xf numFmtId="186" fontId="5" fillId="0" borderId="0" xfId="7" applyNumberFormat="1" applyFont="1"/>
    <xf numFmtId="0" fontId="40" fillId="0" borderId="0" xfId="7" applyFont="1" applyAlignment="1">
      <alignment horizontal="left" indent="1"/>
    </xf>
    <xf numFmtId="0" fontId="39" fillId="9" borderId="0" xfId="7" applyFont="1" applyFill="1"/>
    <xf numFmtId="0" fontId="21" fillId="9" borderId="0" xfId="7" applyFont="1" applyFill="1" applyAlignment="1">
      <alignment horizontal="center"/>
    </xf>
    <xf numFmtId="186" fontId="32" fillId="9" borderId="0" xfId="7" applyNumberFormat="1" applyFont="1" applyFill="1"/>
    <xf numFmtId="0" fontId="22" fillId="0" borderId="0" xfId="1" applyFont="1" applyAlignment="1">
      <alignment horizontal="left" indent="1"/>
    </xf>
    <xf numFmtId="0" fontId="4" fillId="0" borderId="0" xfId="1" applyFont="1" applyAlignment="1">
      <alignment horizontal="left"/>
    </xf>
    <xf numFmtId="3" fontId="12" fillId="6" borderId="1" xfId="8" applyNumberFormat="1" applyFont="1" applyAlignment="1">
      <alignment horizontal="center"/>
    </xf>
    <xf numFmtId="3" fontId="4" fillId="0" borderId="20" xfId="8" applyNumberFormat="1" applyFont="1" applyFill="1" applyBorder="1" applyAlignment="1">
      <alignment horizontal="center"/>
    </xf>
    <xf numFmtId="3" fontId="4" fillId="0" borderId="0" xfId="8" applyNumberFormat="1" applyFont="1" applyFill="1" applyBorder="1" applyAlignment="1">
      <alignment horizontal="center"/>
    </xf>
    <xf numFmtId="186" fontId="4" fillId="0" borderId="0" xfId="1" applyNumberFormat="1" applyFont="1"/>
    <xf numFmtId="0" fontId="13" fillId="10" borderId="0" xfId="1" applyFont="1" applyFill="1"/>
    <xf numFmtId="0" fontId="22" fillId="10" borderId="0" xfId="1" applyFont="1" applyFill="1" applyAlignment="1">
      <alignment horizontal="center"/>
    </xf>
    <xf numFmtId="184" fontId="13" fillId="10" borderId="0" xfId="1" applyNumberFormat="1" applyFont="1" applyFill="1"/>
    <xf numFmtId="0" fontId="36" fillId="7" borderId="2" xfId="7" applyFont="1" applyFill="1" applyBorder="1"/>
    <xf numFmtId="0" fontId="35" fillId="7" borderId="2" xfId="7" applyFont="1" applyFill="1" applyBorder="1"/>
    <xf numFmtId="0" fontId="34" fillId="7" borderId="2" xfId="7" applyFont="1" applyFill="1" applyBorder="1"/>
    <xf numFmtId="0" fontId="19" fillId="0" borderId="0" xfId="7" applyFont="1"/>
    <xf numFmtId="0" fontId="34" fillId="2" borderId="3" xfId="7" applyFont="1" applyFill="1" applyBorder="1"/>
    <xf numFmtId="0" fontId="34" fillId="2" borderId="9" xfId="7" applyFont="1" applyFill="1" applyBorder="1"/>
    <xf numFmtId="0" fontId="23" fillId="2" borderId="9" xfId="7" applyFont="1" applyFill="1" applyBorder="1" applyAlignment="1">
      <alignment horizontal="centerContinuous"/>
    </xf>
    <xf numFmtId="0" fontId="23" fillId="2" borderId="10" xfId="7" applyFont="1" applyFill="1" applyBorder="1" applyAlignment="1">
      <alignment horizontal="centerContinuous"/>
    </xf>
    <xf numFmtId="0" fontId="34" fillId="2" borderId="6" xfId="7" applyFont="1" applyFill="1" applyBorder="1"/>
    <xf numFmtId="174" fontId="42" fillId="11" borderId="6" xfId="7" applyNumberFormat="1" applyFont="1" applyFill="1" applyBorder="1"/>
    <xf numFmtId="181" fontId="23" fillId="11" borderId="0" xfId="7" applyNumberFormat="1" applyFont="1" applyFill="1" applyAlignment="1">
      <alignment horizontal="center"/>
    </xf>
    <xf numFmtId="181" fontId="23" fillId="11" borderId="2" xfId="7" applyNumberFormat="1" applyFont="1" applyFill="1" applyBorder="1" applyAlignment="1">
      <alignment horizontal="center"/>
    </xf>
    <xf numFmtId="181" fontId="23" fillId="11" borderId="9" xfId="7" applyNumberFormat="1" applyFont="1" applyFill="1" applyBorder="1" applyAlignment="1">
      <alignment horizontal="center"/>
    </xf>
    <xf numFmtId="181" fontId="23" fillId="11" borderId="10" xfId="7" applyNumberFormat="1" applyFont="1" applyFill="1" applyBorder="1" applyAlignment="1">
      <alignment horizontal="center"/>
    </xf>
    <xf numFmtId="171" fontId="38" fillId="0" borderId="3" xfId="7" applyNumberFormat="1" applyFont="1" applyBorder="1"/>
    <xf numFmtId="171" fontId="38" fillId="0" borderId="4" xfId="7" applyNumberFormat="1" applyFont="1" applyBorder="1"/>
    <xf numFmtId="171" fontId="5" fillId="0" borderId="4" xfId="7" applyNumberFormat="1" applyFont="1" applyBorder="1"/>
    <xf numFmtId="171" fontId="39" fillId="0" borderId="4" xfId="7" applyNumberFormat="1" applyFont="1" applyBorder="1"/>
    <xf numFmtId="171" fontId="5" fillId="0" borderId="0" xfId="7" applyNumberFormat="1" applyFont="1"/>
    <xf numFmtId="188" fontId="5" fillId="0" borderId="0" xfId="7" applyNumberFormat="1" applyFont="1"/>
    <xf numFmtId="172" fontId="38" fillId="0" borderId="6" xfId="7" applyNumberFormat="1" applyFont="1" applyBorder="1"/>
    <xf numFmtId="172" fontId="38" fillId="0" borderId="0" xfId="7" applyNumberFormat="1" applyFont="1"/>
    <xf numFmtId="172" fontId="5" fillId="0" borderId="0" xfId="7" applyNumberFormat="1" applyFont="1"/>
    <xf numFmtId="172" fontId="39" fillId="0" borderId="0" xfId="7" applyNumberFormat="1" applyFont="1"/>
    <xf numFmtId="172" fontId="39" fillId="0" borderId="6" xfId="7" applyNumberFormat="1" applyFont="1" applyBorder="1"/>
    <xf numFmtId="172" fontId="19" fillId="0" borderId="0" xfId="7" applyNumberFormat="1" applyFont="1"/>
    <xf numFmtId="181" fontId="23" fillId="11" borderId="7" xfId="7" applyNumberFormat="1" applyFont="1" applyFill="1" applyBorder="1" applyAlignment="1">
      <alignment horizontal="center"/>
    </xf>
    <xf numFmtId="181" fontId="23" fillId="11" borderId="12" xfId="7" applyNumberFormat="1" applyFont="1" applyFill="1" applyBorder="1" applyAlignment="1">
      <alignment horizontal="center"/>
    </xf>
    <xf numFmtId="180" fontId="23" fillId="11" borderId="0" xfId="7" applyNumberFormat="1" applyFont="1" applyFill="1" applyAlignment="1">
      <alignment horizontal="center"/>
    </xf>
    <xf numFmtId="180" fontId="23" fillId="11" borderId="9" xfId="7" applyNumberFormat="1" applyFont="1" applyFill="1" applyBorder="1" applyAlignment="1">
      <alignment horizontal="center"/>
    </xf>
    <xf numFmtId="180" fontId="23" fillId="11" borderId="10" xfId="7" applyNumberFormat="1" applyFont="1" applyFill="1" applyBorder="1" applyAlignment="1">
      <alignment horizontal="center"/>
    </xf>
    <xf numFmtId="171" fontId="19" fillId="0" borderId="4" xfId="7" applyNumberFormat="1" applyFont="1" applyBorder="1"/>
    <xf numFmtId="0" fontId="43" fillId="0" borderId="0" xfId="7" applyFont="1"/>
    <xf numFmtId="0" fontId="44" fillId="2" borderId="2" xfId="7" applyFont="1" applyFill="1" applyBorder="1"/>
    <xf numFmtId="0" fontId="45" fillId="2" borderId="2" xfId="7" applyFont="1" applyFill="1" applyBorder="1"/>
    <xf numFmtId="0" fontId="45" fillId="0" borderId="0" xfId="7" applyFont="1"/>
    <xf numFmtId="189" fontId="12" fillId="6" borderId="14" xfId="7" applyNumberFormat="1" applyFont="1" applyFill="1" applyBorder="1" applyAlignment="1">
      <alignment horizontal="center"/>
    </xf>
    <xf numFmtId="189" fontId="37" fillId="0" borderId="0" xfId="7" applyNumberFormat="1" applyFont="1"/>
    <xf numFmtId="10" fontId="38" fillId="0" borderId="0" xfId="7" applyNumberFormat="1" applyFont="1"/>
    <xf numFmtId="189" fontId="28" fillId="6" borderId="14" xfId="7" applyNumberFormat="1" applyFont="1" applyFill="1" applyBorder="1" applyAlignment="1">
      <alignment horizontal="center"/>
    </xf>
    <xf numFmtId="182" fontId="41" fillId="0" borderId="0" xfId="7" applyNumberFormat="1" applyFont="1"/>
    <xf numFmtId="0" fontId="46" fillId="0" borderId="0" xfId="7" applyFont="1"/>
    <xf numFmtId="190" fontId="31" fillId="0" borderId="0" xfId="7" applyNumberFormat="1" applyFont="1"/>
    <xf numFmtId="184" fontId="31" fillId="0" borderId="0" xfId="7" applyNumberFormat="1" applyFont="1"/>
    <xf numFmtId="182" fontId="31" fillId="0" borderId="0" xfId="7" applyNumberFormat="1" applyFont="1"/>
    <xf numFmtId="191" fontId="31" fillId="0" borderId="0" xfId="7" applyNumberFormat="1" applyFont="1"/>
    <xf numFmtId="185" fontId="31" fillId="0" borderId="0" xfId="7" applyNumberFormat="1" applyFont="1"/>
    <xf numFmtId="0" fontId="13" fillId="3" borderId="8" xfId="1" applyFont="1" applyFill="1" applyBorder="1" applyAlignment="1">
      <alignment horizontal="left"/>
    </xf>
    <xf numFmtId="190" fontId="13" fillId="3" borderId="9" xfId="1" applyNumberFormat="1" applyFont="1" applyFill="1" applyBorder="1"/>
    <xf numFmtId="184" fontId="13" fillId="3" borderId="9" xfId="1" applyNumberFormat="1" applyFont="1" applyFill="1" applyBorder="1"/>
    <xf numFmtId="182" fontId="13" fillId="3" borderId="9" xfId="1" applyNumberFormat="1" applyFont="1" applyFill="1" applyBorder="1"/>
    <xf numFmtId="172" fontId="13" fillId="3" borderId="10" xfId="1" applyNumberFormat="1" applyFont="1" applyFill="1" applyBorder="1"/>
    <xf numFmtId="190" fontId="23" fillId="8" borderId="9" xfId="1" applyNumberFormat="1" applyFont="1" applyFill="1" applyBorder="1"/>
    <xf numFmtId="9" fontId="23" fillId="8" borderId="9" xfId="1" applyNumberFormat="1" applyFont="1" applyFill="1" applyBorder="1"/>
    <xf numFmtId="172" fontId="23" fillId="8" borderId="10" xfId="1" applyNumberFormat="1" applyFont="1" applyFill="1" applyBorder="1"/>
    <xf numFmtId="0" fontId="28" fillId="0" borderId="4" xfId="1" applyFont="1" applyBorder="1"/>
    <xf numFmtId="190" fontId="28" fillId="0" borderId="4" xfId="1" applyNumberFormat="1" applyFont="1" applyBorder="1"/>
    <xf numFmtId="184" fontId="28" fillId="0" borderId="4" xfId="1" applyNumberFormat="1" applyFont="1" applyBorder="1"/>
    <xf numFmtId="182" fontId="28" fillId="0" borderId="4" xfId="1" applyNumberFormat="1" applyFont="1" applyBorder="1"/>
    <xf numFmtId="192" fontId="28" fillId="0" borderId="4" xfId="1" applyNumberFormat="1" applyFont="1" applyBorder="1"/>
    <xf numFmtId="172" fontId="28" fillId="0" borderId="4" xfId="1" applyNumberFormat="1" applyFont="1" applyBorder="1"/>
    <xf numFmtId="190" fontId="28" fillId="0" borderId="0" xfId="1" applyNumberFormat="1" applyFont="1"/>
    <xf numFmtId="185" fontId="28" fillId="0" borderId="0" xfId="1" applyNumberFormat="1" applyFont="1"/>
    <xf numFmtId="182" fontId="28" fillId="0" borderId="0" xfId="1" applyNumberFormat="1" applyFont="1"/>
    <xf numFmtId="192" fontId="28" fillId="0" borderId="0" xfId="1" applyNumberFormat="1" applyFont="1"/>
    <xf numFmtId="172" fontId="28" fillId="0" borderId="0" xfId="1" applyNumberFormat="1" applyFont="1"/>
    <xf numFmtId="0" fontId="23" fillId="8" borderId="3" xfId="1" applyFont="1" applyFill="1" applyBorder="1"/>
    <xf numFmtId="0" fontId="23" fillId="8" borderId="4" xfId="1" applyFont="1" applyFill="1" applyBorder="1"/>
    <xf numFmtId="181" fontId="23" fillId="8" borderId="4" xfId="1" applyNumberFormat="1" applyFont="1" applyFill="1" applyBorder="1"/>
    <xf numFmtId="0" fontId="23" fillId="8" borderId="6" xfId="1" applyFont="1" applyFill="1" applyBorder="1"/>
    <xf numFmtId="0" fontId="23" fillId="8" borderId="0" xfId="1" applyFont="1" applyFill="1"/>
    <xf numFmtId="181" fontId="23" fillId="8" borderId="0" xfId="1" applyNumberFormat="1" applyFont="1" applyFill="1"/>
    <xf numFmtId="0" fontId="23" fillId="8" borderId="11" xfId="1" applyFont="1" applyFill="1" applyBorder="1"/>
    <xf numFmtId="0" fontId="23" fillId="8" borderId="2" xfId="1" applyFont="1" applyFill="1" applyBorder="1"/>
    <xf numFmtId="181" fontId="23" fillId="8" borderId="2" xfId="1" applyNumberFormat="1" applyFont="1" applyFill="1" applyBorder="1"/>
    <xf numFmtId="189" fontId="23" fillId="8" borderId="5" xfId="1" applyNumberFormat="1" applyFont="1" applyFill="1" applyBorder="1"/>
    <xf numFmtId="189" fontId="23" fillId="8" borderId="7" xfId="1" applyNumberFormat="1" applyFont="1" applyFill="1" applyBorder="1"/>
    <xf numFmtId="189" fontId="23" fillId="8" borderId="12" xfId="1" applyNumberFormat="1" applyFont="1" applyFill="1" applyBorder="1"/>
    <xf numFmtId="189" fontId="23" fillId="8" borderId="10" xfId="1" applyNumberFormat="1" applyFont="1" applyFill="1" applyBorder="1"/>
    <xf numFmtId="0" fontId="13" fillId="0" borderId="0" xfId="1" applyFont="1" applyAlignment="1">
      <alignment horizontal="left"/>
    </xf>
    <xf numFmtId="166" fontId="13" fillId="0" borderId="0" xfId="1" applyNumberFormat="1" applyFont="1"/>
    <xf numFmtId="171" fontId="13" fillId="0" borderId="0" xfId="1" applyNumberFormat="1" applyFont="1"/>
    <xf numFmtId="174" fontId="13" fillId="0" borderId="0" xfId="1" applyNumberFormat="1" applyFont="1"/>
    <xf numFmtId="192" fontId="13" fillId="5" borderId="12" xfId="9" applyNumberFormat="1" applyFont="1" applyFill="1" applyBorder="1"/>
    <xf numFmtId="182" fontId="23" fillId="8" borderId="9" xfId="1" applyNumberFormat="1" applyFont="1" applyFill="1" applyBorder="1"/>
    <xf numFmtId="193" fontId="12" fillId="0" borderId="0" xfId="7" applyNumberFormat="1" applyFont="1"/>
    <xf numFmtId="193" fontId="4" fillId="0" borderId="0" xfId="7" applyNumberFormat="1" applyFont="1"/>
    <xf numFmtId="10" fontId="13" fillId="5" borderId="12" xfId="9" applyNumberFormat="1" applyFont="1" applyFill="1" applyBorder="1"/>
    <xf numFmtId="0" fontId="28" fillId="0" borderId="2" xfId="7" applyFont="1" applyBorder="1" applyAlignment="1">
      <alignment horizontal="left" indent="1"/>
    </xf>
    <xf numFmtId="0" fontId="5" fillId="0" borderId="2" xfId="7" applyFont="1" applyBorder="1"/>
    <xf numFmtId="0" fontId="23" fillId="7" borderId="21" xfId="7" applyFont="1" applyFill="1" applyBorder="1" applyAlignment="1">
      <alignment horizontal="center" vertical="center" wrapText="1"/>
    </xf>
    <xf numFmtId="0" fontId="25" fillId="0" borderId="21" xfId="7" applyBorder="1" applyAlignment="1">
      <alignment horizontal="center" vertical="center"/>
    </xf>
    <xf numFmtId="0" fontId="25" fillId="0" borderId="22" xfId="7" applyBorder="1" applyAlignment="1">
      <alignment horizontal="center" vertical="center"/>
    </xf>
    <xf numFmtId="2" fontId="19" fillId="0" borderId="0" xfId="7" applyNumberFormat="1" applyFont="1"/>
    <xf numFmtId="172" fontId="38" fillId="6" borderId="1" xfId="8" applyNumberFormat="1" applyFont="1" applyAlignment="1">
      <alignment horizontal="center"/>
    </xf>
    <xf numFmtId="0" fontId="19" fillId="0" borderId="0" xfId="7" applyFont="1" applyAlignment="1">
      <alignment horizontal="right"/>
    </xf>
    <xf numFmtId="0" fontId="19" fillId="4" borderId="2" xfId="7" applyFont="1" applyFill="1" applyBorder="1" applyAlignment="1">
      <alignment horizontal="center"/>
    </xf>
    <xf numFmtId="0" fontId="28" fillId="0" borderId="0" xfId="7" applyFont="1" applyBorder="1" applyAlignment="1">
      <alignment horizontal="left" indent="1"/>
    </xf>
    <xf numFmtId="0" fontId="5" fillId="0" borderId="0" xfId="7" applyFont="1" applyBorder="1"/>
    <xf numFmtId="0" fontId="38" fillId="0" borderId="0" xfId="7" applyFont="1" applyBorder="1" applyAlignment="1">
      <alignment horizontal="left" indent="1"/>
    </xf>
    <xf numFmtId="0" fontId="38" fillId="0" borderId="2" xfId="7" applyFont="1" applyBorder="1" applyAlignment="1">
      <alignment horizontal="left" indent="1"/>
    </xf>
    <xf numFmtId="172" fontId="38" fillId="6" borderId="23" xfId="8" applyNumberFormat="1" applyFont="1" applyBorder="1" applyAlignment="1">
      <alignment horizontal="center"/>
    </xf>
    <xf numFmtId="172" fontId="38" fillId="6" borderId="24" xfId="8" applyNumberFormat="1" applyFont="1" applyBorder="1" applyAlignment="1">
      <alignment horizontal="center"/>
    </xf>
    <xf numFmtId="0" fontId="0" fillId="0" borderId="2" xfId="0" applyBorder="1"/>
  </cellXfs>
  <cellStyles count="10">
    <cellStyle name="Hyperlink" xfId="3" builtinId="8"/>
    <cellStyle name="Normal" xfId="0" builtinId="0"/>
    <cellStyle name="Normal 2" xfId="1" xr:uid="{D00A0B40-53F5-4416-8A0B-749E912BFCDB}"/>
    <cellStyle name="Normal 3" xfId="7" xr:uid="{1E5CF80A-5BC1-49B8-A064-3850BC335812}"/>
    <cellStyle name="Normal 3 2" xfId="6" xr:uid="{B422375C-2067-4494-923E-E3989978C6CD}"/>
    <cellStyle name="Normal 3 4" xfId="5" xr:uid="{353BE7D6-BA48-489A-9CD8-3C7A0FD3837D}"/>
    <cellStyle name="Normal 5 2" xfId="4" xr:uid="{58F5CF07-7215-4236-B618-7C96AE44CF78}"/>
    <cellStyle name="Note 2" xfId="8" xr:uid="{A6E6E36A-A1DD-49C0-A1CF-ABB94AADC354}"/>
    <cellStyle name="Per cent" xfId="9" builtinId="5"/>
    <cellStyle name="TextNormal" xfId="2" xr:uid="{7F54A53E-B60A-4393-9C04-C6D315745E35}"/>
  </cellStyles>
  <dxfs count="0"/>
  <tableStyles count="0" defaultTableStyle="TableStyleMedium2" defaultPivotStyle="PivotStyleLight16"/>
  <colors>
    <mruColors>
      <color rgb="FF0000FF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microsoft.com/office/2017/10/relationships/person" Target="persons/perso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9033139b0e9dc99/Valuation%20Methods/Discounted%20Cash%20Flow%20Analysis%20(DCF).xlsx" TargetMode="External"/><Relationship Id="rId1" Type="http://schemas.openxmlformats.org/officeDocument/2006/relationships/externalLinkPath" Target="Discounted%20Cash%20Flow%20Analysis%20(DCF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9033139b0e9dc99/Valuation%20Methods/Comparable%20Company%20Analysis%20(Public%20Comps).xlsx" TargetMode="External"/><Relationship Id="rId1" Type="http://schemas.openxmlformats.org/officeDocument/2006/relationships/externalLinkPath" Target="Comparable%20Company%20Analysis%20(Public%20Comp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CF"/>
      <sheetName val="WACC"/>
    </sheetNames>
    <sheetDataSet>
      <sheetData sheetId="0">
        <row r="3">
          <cell r="B3" t="str">
            <v>($ in Millions Except Per Share and Per Unit Data)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ublic-Comps"/>
      <sheetName val="ValSum"/>
    </sheetNames>
    <sheetDataSet>
      <sheetData sheetId="0"/>
      <sheetData sheetId="1">
        <row r="23">
          <cell r="E23">
            <v>1447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-4070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233B5-9D8E-493D-AE11-323EDE6A9B49}">
  <sheetPr>
    <pageSetUpPr autoPageBreaks="0"/>
  </sheetPr>
  <dimension ref="A1:AJ127"/>
  <sheetViews>
    <sheetView showGridLines="0" tabSelected="1" topLeftCell="L36" zoomScale="65" zoomScaleNormal="65" workbookViewId="0">
      <selection activeCell="AA57" sqref="AA57"/>
    </sheetView>
  </sheetViews>
  <sheetFormatPr defaultColWidth="8.81640625" defaultRowHeight="15.5" outlineLevelRow="1" outlineLevelCol="1" x14ac:dyDescent="0.35"/>
  <cols>
    <col min="1" max="2" width="2.7265625" style="116" customWidth="1"/>
    <col min="3" max="3" width="47.7265625" style="116" bestFit="1" customWidth="1"/>
    <col min="4" max="4" width="12.7265625" style="117" customWidth="1"/>
    <col min="5" max="6" width="12.7265625" style="117" customWidth="1" outlineLevel="1"/>
    <col min="7" max="7" width="12.7265625" style="116" customWidth="1" outlineLevel="1"/>
    <col min="8" max="19" width="12.7265625" style="116" customWidth="1"/>
    <col min="20" max="21" width="2.7265625" style="116" customWidth="1"/>
    <col min="22" max="27" width="8.81640625" style="116"/>
    <col min="28" max="28" width="11.1796875" style="116" customWidth="1"/>
    <col min="29" max="29" width="9.36328125" style="116" customWidth="1"/>
    <col min="30" max="16384" width="8.81640625" style="116"/>
  </cols>
  <sheetData>
    <row r="1" spans="2:18" ht="15.75" customHeight="1" x14ac:dyDescent="0.35"/>
    <row r="2" spans="2:18" ht="15.75" customHeight="1" x14ac:dyDescent="0.45">
      <c r="B2" s="118" t="str">
        <f>Company_Name&amp;" - Discounted Cash Flow Analysis"</f>
        <v>Best Buy Co. - Discounted Cash Flow Analysis</v>
      </c>
    </row>
    <row r="3" spans="2:18" ht="15.75" customHeight="1" x14ac:dyDescent="0.35">
      <c r="B3" s="116" t="s">
        <v>113</v>
      </c>
      <c r="G3" s="119"/>
      <c r="H3" s="120"/>
      <c r="I3" s="121"/>
    </row>
    <row r="4" spans="2:18" ht="15.75" customHeight="1" x14ac:dyDescent="0.35"/>
    <row r="5" spans="2:18" ht="15.75" customHeight="1" x14ac:dyDescent="0.35">
      <c r="B5" s="122"/>
      <c r="C5" s="122"/>
      <c r="D5" s="123"/>
      <c r="E5" s="123"/>
      <c r="F5" s="123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</row>
    <row r="6" spans="2:18" ht="15.75" customHeight="1" x14ac:dyDescent="0.35">
      <c r="B6" s="124" t="s">
        <v>114</v>
      </c>
      <c r="C6" s="125"/>
      <c r="D6" s="125"/>
      <c r="E6" s="125"/>
      <c r="F6" s="125"/>
      <c r="G6" s="125"/>
      <c r="H6" s="125"/>
      <c r="I6" s="125"/>
      <c r="J6" s="125"/>
      <c r="K6" s="125"/>
      <c r="L6" s="125"/>
      <c r="M6" s="125"/>
      <c r="N6" s="125"/>
      <c r="O6" s="125"/>
      <c r="P6" s="125"/>
      <c r="Q6" s="125"/>
      <c r="R6" s="125"/>
    </row>
    <row r="7" spans="2:18" ht="15.75" customHeight="1" outlineLevel="1" x14ac:dyDescent="0.35">
      <c r="D7" s="126"/>
      <c r="E7" s="126"/>
    </row>
    <row r="8" spans="2:18" ht="15.75" customHeight="1" outlineLevel="1" x14ac:dyDescent="0.35">
      <c r="C8" s="127" t="s">
        <v>74</v>
      </c>
      <c r="D8" s="128" t="s">
        <v>73</v>
      </c>
      <c r="E8" s="126"/>
      <c r="F8" s="129" t="s">
        <v>115</v>
      </c>
      <c r="G8" s="130"/>
      <c r="H8" s="130"/>
      <c r="I8" s="130"/>
      <c r="J8" s="2"/>
      <c r="K8" s="129" t="s">
        <v>116</v>
      </c>
      <c r="L8" s="130"/>
      <c r="M8" s="130"/>
      <c r="N8" s="130"/>
    </row>
    <row r="9" spans="2:18" ht="15.75" customHeight="1" outlineLevel="1" x14ac:dyDescent="0.35">
      <c r="C9" s="127" t="s">
        <v>117</v>
      </c>
      <c r="D9" s="128" t="s">
        <v>108</v>
      </c>
      <c r="E9" s="126"/>
      <c r="F9" s="2"/>
      <c r="G9" s="2"/>
      <c r="H9" s="2"/>
      <c r="I9" s="2"/>
      <c r="J9" s="2"/>
      <c r="K9" s="2"/>
      <c r="L9" s="2"/>
      <c r="M9" s="2"/>
      <c r="N9" s="2"/>
    </row>
    <row r="10" spans="2:18" ht="15.75" customHeight="1" outlineLevel="1" x14ac:dyDescent="0.35">
      <c r="C10" s="127" t="s">
        <v>71</v>
      </c>
      <c r="D10" s="131">
        <v>74.290000000000006</v>
      </c>
      <c r="E10" s="2"/>
      <c r="F10" s="132" t="s">
        <v>118</v>
      </c>
      <c r="G10" s="7"/>
      <c r="H10" s="7"/>
      <c r="I10" s="133">
        <f>'Public-Comps'!AF15</f>
        <v>10.781943203463204</v>
      </c>
      <c r="J10" s="2"/>
      <c r="K10" s="132" t="s">
        <v>119</v>
      </c>
      <c r="L10" s="2"/>
      <c r="M10" s="2"/>
      <c r="N10" s="134">
        <v>1.4999999999999999E-2</v>
      </c>
    </row>
    <row r="11" spans="2:18" ht="15.75" customHeight="1" outlineLevel="1" x14ac:dyDescent="0.35">
      <c r="E11" s="2"/>
      <c r="F11" s="132" t="s">
        <v>120</v>
      </c>
      <c r="G11" s="7"/>
      <c r="H11" s="135"/>
      <c r="I11" s="133">
        <v>7.5</v>
      </c>
      <c r="J11" s="2"/>
      <c r="K11" s="132" t="s">
        <v>121</v>
      </c>
      <c r="L11" s="2"/>
      <c r="M11" s="136"/>
      <c r="N11" s="134">
        <v>5.0000000000000001E-3</v>
      </c>
    </row>
    <row r="12" spans="2:18" ht="15.75" customHeight="1" outlineLevel="1" x14ac:dyDescent="0.35">
      <c r="C12" s="132" t="s">
        <v>122</v>
      </c>
      <c r="D12" s="137">
        <f>WACC</f>
        <v>7.7012801915001303E-2</v>
      </c>
      <c r="E12" s="116"/>
      <c r="I12" s="138"/>
      <c r="J12" s="2"/>
      <c r="N12" s="138"/>
    </row>
    <row r="13" spans="2:18" ht="15.75" customHeight="1" outlineLevel="1" x14ac:dyDescent="0.35">
      <c r="C13" s="127" t="s">
        <v>123</v>
      </c>
      <c r="D13" s="139">
        <v>0.21</v>
      </c>
      <c r="E13" s="116"/>
      <c r="F13" s="132" t="s">
        <v>124</v>
      </c>
      <c r="G13" s="7"/>
      <c r="H13" s="7"/>
      <c r="I13" s="140">
        <f>I11*Q95</f>
        <v>21045.231681765257</v>
      </c>
      <c r="J13" s="2"/>
      <c r="K13" s="132" t="s">
        <v>124</v>
      </c>
      <c r="L13" s="2"/>
      <c r="M13" s="2"/>
      <c r="N13" s="141">
        <f>Q89*(1+N11)/(Discount_Rate-N11)</f>
        <v>27896.829495114624</v>
      </c>
    </row>
    <row r="14" spans="2:18" ht="15.75" customHeight="1" outlineLevel="1" x14ac:dyDescent="0.35">
      <c r="C14" s="142" t="s">
        <v>72</v>
      </c>
      <c r="D14" s="143">
        <v>45689</v>
      </c>
      <c r="E14" s="116"/>
      <c r="F14" s="132" t="s">
        <v>125</v>
      </c>
      <c r="G14" s="7"/>
      <c r="H14" s="135"/>
      <c r="I14" s="144">
        <f>(I13*Discount_Rate-Q89)/(I13+Q89)</f>
        <v>-1.6411178819606534E-2</v>
      </c>
      <c r="J14" s="2"/>
      <c r="K14" s="132" t="s">
        <v>126</v>
      </c>
      <c r="L14" s="2"/>
      <c r="M14" s="2"/>
      <c r="N14" s="145">
        <f>N13/Q95</f>
        <v>9.9417399806838311</v>
      </c>
    </row>
    <row r="15" spans="2:18" ht="15.75" customHeight="1" outlineLevel="1" x14ac:dyDescent="0.35">
      <c r="E15" s="116"/>
      <c r="F15" s="7"/>
      <c r="G15" s="7"/>
      <c r="H15" s="7"/>
      <c r="I15" s="7"/>
      <c r="J15" s="2"/>
      <c r="K15" s="2"/>
      <c r="L15" s="2"/>
      <c r="M15" s="2"/>
      <c r="N15" s="2"/>
    </row>
    <row r="16" spans="2:18" ht="15.75" customHeight="1" outlineLevel="1" x14ac:dyDescent="0.35">
      <c r="C16" s="146" t="s">
        <v>127</v>
      </c>
      <c r="D16" s="147">
        <f>+I32*Share_Price</f>
        <v>16120.930000000002</v>
      </c>
      <c r="E16" s="116"/>
      <c r="F16" s="148" t="s">
        <v>128</v>
      </c>
      <c r="G16" s="7"/>
      <c r="H16" s="7"/>
      <c r="I16" s="149">
        <f>I13/((1+Discount_Rate)^$Q$92)</f>
        <v>10021.784399317323</v>
      </c>
      <c r="J16" s="2"/>
      <c r="K16" s="148" t="str">
        <f>+F16</f>
        <v>(+) PV of Terminal Value:</v>
      </c>
      <c r="L16" s="2"/>
      <c r="M16" s="2"/>
      <c r="N16" s="149">
        <f>N13/((1+Discount_Rate)^$Q$92)</f>
        <v>13284.529952064868</v>
      </c>
    </row>
    <row r="17" spans="3:14" ht="15.75" customHeight="1" outlineLevel="1" x14ac:dyDescent="0.35">
      <c r="C17" s="148" t="s">
        <v>129</v>
      </c>
      <c r="D17" s="150">
        <v>-1447</v>
      </c>
      <c r="E17" s="116"/>
      <c r="F17" s="151" t="s">
        <v>130</v>
      </c>
      <c r="G17" s="152"/>
      <c r="H17" s="152"/>
      <c r="I17" s="153">
        <f>SUM($H$93:$Q$93)</f>
        <v>13363.924198529034</v>
      </c>
      <c r="J17" s="2"/>
      <c r="K17" s="151" t="str">
        <f t="shared" ref="K17:K18" si="0">+F17</f>
        <v>(+) Sum of PV of Free Cash Flows:</v>
      </c>
      <c r="L17" s="154"/>
      <c r="M17" s="154"/>
      <c r="N17" s="153">
        <f>SUM($H$93:$Q$93)</f>
        <v>13363.924198529034</v>
      </c>
    </row>
    <row r="18" spans="3:14" ht="15.75" customHeight="1" outlineLevel="1" x14ac:dyDescent="0.35">
      <c r="C18" s="155" t="s">
        <v>131</v>
      </c>
      <c r="D18" s="150">
        <v>0</v>
      </c>
      <c r="E18" s="116"/>
      <c r="F18" s="156" t="s">
        <v>132</v>
      </c>
      <c r="G18" s="157"/>
      <c r="H18" s="157"/>
      <c r="I18" s="158">
        <f>SUM(I16:I17)</f>
        <v>23385.708597846358</v>
      </c>
      <c r="J18" s="2"/>
      <c r="K18" s="156" t="str">
        <f t="shared" si="0"/>
        <v>Implied Enterprise Value:</v>
      </c>
      <c r="L18" s="159"/>
      <c r="M18" s="159"/>
      <c r="N18" s="160">
        <f>SUM(N16:N17)</f>
        <v>26648.454150593901</v>
      </c>
    </row>
    <row r="19" spans="3:14" ht="15.75" customHeight="1" outlineLevel="1" x14ac:dyDescent="0.35">
      <c r="C19" s="155" t="s">
        <v>133</v>
      </c>
      <c r="D19" s="150">
        <v>0</v>
      </c>
      <c r="E19" s="116"/>
      <c r="F19" s="7"/>
      <c r="G19" s="7"/>
      <c r="H19" s="7"/>
      <c r="I19" s="7"/>
      <c r="J19" s="2"/>
      <c r="K19" s="2"/>
      <c r="L19" s="2"/>
      <c r="M19" s="2"/>
      <c r="N19" s="2"/>
    </row>
    <row r="20" spans="3:14" ht="15.75" customHeight="1" outlineLevel="1" x14ac:dyDescent="0.35">
      <c r="C20" s="155" t="s">
        <v>134</v>
      </c>
      <c r="D20" s="150">
        <v>-25.1</v>
      </c>
      <c r="E20" s="116"/>
      <c r="F20" s="161" t="s">
        <v>135</v>
      </c>
      <c r="G20" s="7"/>
      <c r="H20" s="7"/>
      <c r="I20" s="162">
        <f>+I16/I18</f>
        <v>0.42854311458581379</v>
      </c>
      <c r="J20" s="2"/>
      <c r="K20" s="163" t="str">
        <f>+F20</f>
        <v>% of Implied TEV from Terminal Value:</v>
      </c>
      <c r="L20" s="2"/>
      <c r="M20" s="2"/>
      <c r="N20" s="164">
        <f>+N16/N18</f>
        <v>0.49851034048700349</v>
      </c>
    </row>
    <row r="21" spans="3:14" ht="15.75" customHeight="1" outlineLevel="1" x14ac:dyDescent="0.35">
      <c r="C21" s="155" t="s">
        <v>136</v>
      </c>
      <c r="D21" s="150">
        <f>4070</f>
        <v>4070</v>
      </c>
      <c r="E21" s="116"/>
      <c r="F21" s="7"/>
      <c r="G21" s="7"/>
      <c r="H21" s="7"/>
      <c r="I21" s="7"/>
      <c r="J21" s="2"/>
      <c r="K21" s="2"/>
      <c r="L21" s="2"/>
      <c r="M21" s="2"/>
      <c r="N21" s="2"/>
    </row>
    <row r="22" spans="3:14" ht="15.75" customHeight="1" outlineLevel="1" x14ac:dyDescent="0.35">
      <c r="C22" s="155" t="s">
        <v>137</v>
      </c>
      <c r="D22" s="150">
        <v>0</v>
      </c>
      <c r="E22" s="116"/>
      <c r="F22" s="148" t="s">
        <v>138</v>
      </c>
      <c r="G22" s="7"/>
      <c r="H22" s="7"/>
      <c r="I22" s="165">
        <f>-D17</f>
        <v>1447</v>
      </c>
      <c r="J22" s="2"/>
      <c r="K22" s="54" t="s">
        <v>138</v>
      </c>
      <c r="L22" s="2"/>
      <c r="M22" s="2"/>
      <c r="N22" s="166">
        <f>+I22</f>
        <v>1447</v>
      </c>
    </row>
    <row r="23" spans="3:14" ht="15.75" customHeight="1" outlineLevel="1" x14ac:dyDescent="0.35">
      <c r="C23" s="155" t="s">
        <v>139</v>
      </c>
      <c r="D23" s="150">
        <v>0</v>
      </c>
      <c r="E23" s="116"/>
      <c r="F23" s="155" t="s">
        <v>140</v>
      </c>
      <c r="G23" s="167"/>
      <c r="H23" s="167"/>
      <c r="I23" s="149">
        <f t="shared" ref="I23:I29" si="1">-D18</f>
        <v>0</v>
      </c>
      <c r="J23" s="2"/>
      <c r="K23" s="168" t="s">
        <v>140</v>
      </c>
      <c r="N23" s="166">
        <f t="shared" ref="N23:N29" si="2">+I23</f>
        <v>0</v>
      </c>
    </row>
    <row r="24" spans="3:14" ht="15.75" customHeight="1" outlineLevel="1" x14ac:dyDescent="0.35">
      <c r="C24" s="155" t="s">
        <v>141</v>
      </c>
      <c r="D24" s="150">
        <v>0</v>
      </c>
      <c r="E24" s="116"/>
      <c r="F24" s="155" t="s">
        <v>142</v>
      </c>
      <c r="G24" s="167"/>
      <c r="H24" s="167"/>
      <c r="I24" s="149">
        <f>-D19</f>
        <v>0</v>
      </c>
      <c r="J24" s="2"/>
      <c r="K24" s="168" t="s">
        <v>142</v>
      </c>
      <c r="N24" s="166">
        <f t="shared" si="2"/>
        <v>0</v>
      </c>
    </row>
    <row r="25" spans="3:14" ht="15.75" customHeight="1" outlineLevel="1" x14ac:dyDescent="0.35">
      <c r="C25" s="58" t="s">
        <v>143</v>
      </c>
      <c r="D25" s="169">
        <f>SUM(D16:D24)</f>
        <v>18718.830000000002</v>
      </c>
      <c r="E25" s="2"/>
      <c r="F25" s="155" t="s">
        <v>60</v>
      </c>
      <c r="G25" s="167"/>
      <c r="H25" s="167"/>
      <c r="I25" s="149">
        <f>-D20</f>
        <v>25.1</v>
      </c>
      <c r="J25" s="2"/>
      <c r="K25" s="168" t="s">
        <v>60</v>
      </c>
      <c r="N25" s="166">
        <f t="shared" si="2"/>
        <v>25.1</v>
      </c>
    </row>
    <row r="26" spans="3:14" ht="15.75" customHeight="1" outlineLevel="1" x14ac:dyDescent="0.35">
      <c r="E26" s="126"/>
      <c r="F26" s="155" t="s">
        <v>144</v>
      </c>
      <c r="G26" s="167"/>
      <c r="H26" s="167"/>
      <c r="I26" s="149">
        <f t="shared" si="1"/>
        <v>-4070</v>
      </c>
      <c r="J26" s="2"/>
      <c r="K26" s="168" t="s">
        <v>145</v>
      </c>
      <c r="N26" s="166">
        <f t="shared" si="2"/>
        <v>-4070</v>
      </c>
    </row>
    <row r="27" spans="3:14" ht="15.75" customHeight="1" outlineLevel="1" x14ac:dyDescent="0.35">
      <c r="E27" s="126"/>
      <c r="F27" s="155" t="s">
        <v>63</v>
      </c>
      <c r="G27" s="167"/>
      <c r="H27" s="167"/>
      <c r="I27" s="149">
        <f t="shared" si="1"/>
        <v>0</v>
      </c>
      <c r="J27" s="2"/>
      <c r="K27" s="168" t="s">
        <v>63</v>
      </c>
      <c r="N27" s="166">
        <f t="shared" si="2"/>
        <v>0</v>
      </c>
    </row>
    <row r="28" spans="3:14" ht="15.75" customHeight="1" outlineLevel="1" x14ac:dyDescent="0.35">
      <c r="D28" s="116"/>
      <c r="E28" s="126"/>
      <c r="F28" s="155" t="s">
        <v>65</v>
      </c>
      <c r="G28" s="167"/>
      <c r="H28" s="167"/>
      <c r="I28" s="149">
        <f t="shared" si="1"/>
        <v>0</v>
      </c>
      <c r="J28" s="2"/>
      <c r="K28" s="168" t="s">
        <v>65</v>
      </c>
      <c r="N28" s="166">
        <f t="shared" si="2"/>
        <v>0</v>
      </c>
    </row>
    <row r="29" spans="3:14" ht="15.75" customHeight="1" outlineLevel="1" x14ac:dyDescent="0.35">
      <c r="D29" s="116"/>
      <c r="E29" s="126"/>
      <c r="F29" s="155" t="s">
        <v>146</v>
      </c>
      <c r="G29" s="167"/>
      <c r="H29" s="167"/>
      <c r="I29" s="153">
        <f t="shared" si="1"/>
        <v>0</v>
      </c>
      <c r="J29" s="2"/>
      <c r="K29" s="168" t="s">
        <v>146</v>
      </c>
      <c r="N29" s="170">
        <f t="shared" si="2"/>
        <v>0</v>
      </c>
    </row>
    <row r="30" spans="3:14" ht="15.75" customHeight="1" outlineLevel="1" x14ac:dyDescent="0.35">
      <c r="D30" s="116"/>
      <c r="E30" s="126"/>
      <c r="F30" s="58" t="s">
        <v>67</v>
      </c>
      <c r="G30" s="171"/>
      <c r="H30" s="171"/>
      <c r="I30" s="172">
        <f>I18+SUM(I22:I29)</f>
        <v>20787.808597846357</v>
      </c>
      <c r="J30" s="2"/>
      <c r="K30" s="58" t="s">
        <v>67</v>
      </c>
      <c r="L30" s="59"/>
      <c r="M30" s="59"/>
      <c r="N30" s="172">
        <f>N18+SUM(N22:N29)</f>
        <v>24050.5541505939</v>
      </c>
    </row>
    <row r="31" spans="3:14" ht="15.75" customHeight="1" outlineLevel="1" x14ac:dyDescent="0.35">
      <c r="D31" s="116"/>
      <c r="E31" s="126"/>
      <c r="F31" s="7"/>
      <c r="G31" s="7"/>
      <c r="H31" s="7"/>
      <c r="I31" s="7"/>
      <c r="J31" s="2"/>
      <c r="K31" s="2"/>
      <c r="L31" s="2"/>
      <c r="M31" s="2"/>
      <c r="N31" s="2"/>
    </row>
    <row r="32" spans="3:14" ht="15.75" customHeight="1" outlineLevel="1" x14ac:dyDescent="0.35">
      <c r="D32" s="116"/>
      <c r="E32" s="126"/>
      <c r="F32" s="132" t="s">
        <v>69</v>
      </c>
      <c r="G32" s="7"/>
      <c r="H32" s="7"/>
      <c r="I32" s="173">
        <v>217</v>
      </c>
      <c r="J32" s="2"/>
      <c r="K32" s="2" t="s">
        <v>69</v>
      </c>
      <c r="L32" s="2"/>
      <c r="M32" s="2"/>
      <c r="N32" s="174">
        <f>I32</f>
        <v>217</v>
      </c>
    </row>
    <row r="33" spans="1:36" ht="15.75" customHeight="1" outlineLevel="1" x14ac:dyDescent="0.35">
      <c r="D33" s="116"/>
      <c r="E33" s="126"/>
      <c r="F33" s="7"/>
      <c r="G33" s="7"/>
      <c r="H33" s="175"/>
      <c r="I33" s="175"/>
      <c r="J33" s="2"/>
      <c r="K33" s="2"/>
      <c r="L33" s="2"/>
      <c r="M33" s="2"/>
      <c r="N33" s="2"/>
    </row>
    <row r="34" spans="1:36" ht="15.75" customHeight="1" outlineLevel="1" x14ac:dyDescent="0.35">
      <c r="C34" s="2"/>
      <c r="D34" s="176"/>
      <c r="E34" s="126"/>
      <c r="F34" s="62" t="s">
        <v>147</v>
      </c>
      <c r="G34" s="177"/>
      <c r="H34" s="177"/>
      <c r="I34" s="178">
        <f>+I30/I32</f>
        <v>95.796352985467081</v>
      </c>
      <c r="J34" s="2"/>
      <c r="K34" s="62" t="s">
        <v>147</v>
      </c>
      <c r="L34" s="63"/>
      <c r="M34" s="63"/>
      <c r="N34" s="64">
        <f>+N30/N32</f>
        <v>110.83204677693041</v>
      </c>
    </row>
    <row r="35" spans="1:36" ht="15.75" customHeight="1" outlineLevel="1" x14ac:dyDescent="0.35">
      <c r="D35" s="126"/>
      <c r="E35" s="126"/>
      <c r="F35" s="65" t="s">
        <v>70</v>
      </c>
      <c r="G35" s="179"/>
      <c r="H35" s="179"/>
      <c r="I35" s="180">
        <f>+I34/Share_Price-1</f>
        <v>0.28949189642572448</v>
      </c>
      <c r="J35" s="2"/>
      <c r="K35" s="65" t="s">
        <v>70</v>
      </c>
      <c r="L35" s="66"/>
      <c r="M35" s="66"/>
      <c r="N35" s="67">
        <f>+N34/Share_Price-1</f>
        <v>0.49188379024001083</v>
      </c>
    </row>
    <row r="36" spans="1:36" ht="15.75" customHeight="1" x14ac:dyDescent="0.35">
      <c r="D36" s="126"/>
      <c r="E36" s="126"/>
    </row>
    <row r="37" spans="1:36" ht="15.75" customHeight="1" x14ac:dyDescent="0.35">
      <c r="B37" s="181"/>
      <c r="C37" s="181"/>
      <c r="D37" s="182"/>
      <c r="E37" s="183" t="s">
        <v>148</v>
      </c>
      <c r="F37" s="183"/>
      <c r="G37" s="184"/>
      <c r="H37" s="183" t="s">
        <v>149</v>
      </c>
      <c r="I37" s="183"/>
      <c r="J37" s="183"/>
      <c r="K37" s="183"/>
      <c r="L37" s="183"/>
      <c r="M37" s="183"/>
      <c r="N37" s="183"/>
      <c r="O37" s="183"/>
      <c r="P37" s="183"/>
      <c r="Q37" s="183"/>
    </row>
    <row r="38" spans="1:36" ht="15.75" customHeight="1" x14ac:dyDescent="0.35">
      <c r="A38" s="185"/>
      <c r="B38" s="186" t="s">
        <v>150</v>
      </c>
      <c r="C38" s="186"/>
      <c r="D38" s="187" t="s">
        <v>151</v>
      </c>
      <c r="E38" s="188">
        <f>EOMONTH(F38,-12)</f>
        <v>44985</v>
      </c>
      <c r="F38" s="188">
        <f>EOMONTH(G38,-12)</f>
        <v>45351</v>
      </c>
      <c r="G38" s="189">
        <f>Hist_Year</f>
        <v>45689</v>
      </c>
      <c r="H38" s="188">
        <f>EOMONTH(G38,12)</f>
        <v>46081</v>
      </c>
      <c r="I38" s="188">
        <f t="shared" ref="I38:Q38" si="3">EOMONTH(H38,12)</f>
        <v>46446</v>
      </c>
      <c r="J38" s="188">
        <f t="shared" si="3"/>
        <v>46812</v>
      </c>
      <c r="K38" s="188">
        <f t="shared" si="3"/>
        <v>47177</v>
      </c>
      <c r="L38" s="188">
        <f t="shared" si="3"/>
        <v>47542</v>
      </c>
      <c r="M38" s="188">
        <f t="shared" si="3"/>
        <v>47907</v>
      </c>
      <c r="N38" s="188">
        <f t="shared" si="3"/>
        <v>48273</v>
      </c>
      <c r="O38" s="188">
        <f t="shared" si="3"/>
        <v>48638</v>
      </c>
      <c r="P38" s="188">
        <f t="shared" si="3"/>
        <v>49003</v>
      </c>
      <c r="Q38" s="188">
        <f t="shared" si="3"/>
        <v>49368</v>
      </c>
      <c r="V38" s="129" t="s">
        <v>229</v>
      </c>
      <c r="W38" s="130"/>
      <c r="X38" s="130"/>
      <c r="Y38" s="130"/>
      <c r="Z38" s="130"/>
      <c r="AA38" s="130"/>
      <c r="AB38" s="332" t="s">
        <v>228</v>
      </c>
      <c r="AC38" s="332" t="s">
        <v>227</v>
      </c>
      <c r="AD38"/>
      <c r="AE38"/>
      <c r="AF38"/>
      <c r="AG38"/>
      <c r="AH38"/>
      <c r="AI38"/>
      <c r="AJ38"/>
    </row>
    <row r="39" spans="1:36" ht="15.75" customHeight="1" outlineLevel="1" x14ac:dyDescent="0.35">
      <c r="A39" s="185"/>
      <c r="B39" s="190"/>
      <c r="C39" s="190"/>
      <c r="D39" s="191"/>
      <c r="E39" s="192"/>
      <c r="F39" s="192"/>
      <c r="G39" s="192"/>
      <c r="H39" s="192"/>
      <c r="I39" s="192"/>
      <c r="J39" s="192"/>
      <c r="K39" s="192"/>
      <c r="L39" s="192"/>
      <c r="M39" s="192"/>
      <c r="N39" s="192"/>
      <c r="O39" s="192"/>
      <c r="P39" s="192"/>
      <c r="Q39" s="192"/>
      <c r="AB39" s="239"/>
      <c r="AC39" s="239"/>
      <c r="AD39"/>
      <c r="AE39"/>
      <c r="AF39"/>
      <c r="AG39"/>
      <c r="AH39"/>
      <c r="AI39"/>
      <c r="AJ39"/>
    </row>
    <row r="40" spans="1:36" ht="15.75" customHeight="1" outlineLevel="1" x14ac:dyDescent="0.35">
      <c r="A40" s="185"/>
      <c r="B40" s="190"/>
      <c r="C40" s="127" t="s">
        <v>152</v>
      </c>
      <c r="D40" s="193" t="s">
        <v>153</v>
      </c>
      <c r="E40" s="321">
        <v>41</v>
      </c>
      <c r="F40" s="321">
        <v>40.393999999999998</v>
      </c>
      <c r="G40" s="321">
        <v>40.142000000000003</v>
      </c>
      <c r="H40" s="322">
        <f>G40*(1+H41)</f>
        <v>40.142000000000003</v>
      </c>
      <c r="I40" s="322">
        <f>H40*(1+I41)</f>
        <v>40.142000000000003</v>
      </c>
      <c r="J40" s="322">
        <f t="shared" ref="J40:Q40" si="4">I40*(1+J41)</f>
        <v>40.142000000000003</v>
      </c>
      <c r="K40" s="322">
        <f t="shared" si="4"/>
        <v>39.941290000000002</v>
      </c>
      <c r="L40" s="322">
        <f t="shared" si="4"/>
        <v>39.741583550000001</v>
      </c>
      <c r="M40" s="322">
        <f t="shared" si="4"/>
        <v>39.542875632250002</v>
      </c>
      <c r="N40" s="322">
        <f t="shared" si="4"/>
        <v>39.345161254088751</v>
      </c>
      <c r="O40" s="322">
        <f t="shared" si="4"/>
        <v>39.148435447818308</v>
      </c>
      <c r="P40" s="322">
        <f t="shared" si="4"/>
        <v>38.952693270579218</v>
      </c>
      <c r="Q40" s="322">
        <f t="shared" si="4"/>
        <v>38.757929804226322</v>
      </c>
      <c r="V40" s="200" t="s">
        <v>222</v>
      </c>
      <c r="AB40" s="331">
        <v>1734</v>
      </c>
      <c r="AC40" s="239">
        <v>1760</v>
      </c>
      <c r="AD40"/>
      <c r="AE40"/>
      <c r="AF40"/>
      <c r="AG40"/>
      <c r="AH40"/>
      <c r="AI40"/>
      <c r="AJ40"/>
    </row>
    <row r="41" spans="1:36" ht="15.75" customHeight="1" outlineLevel="1" x14ac:dyDescent="0.35">
      <c r="A41" s="185"/>
      <c r="B41" s="190"/>
      <c r="C41" s="155" t="s">
        <v>154</v>
      </c>
      <c r="D41" s="195" t="s">
        <v>155</v>
      </c>
      <c r="E41" s="196" t="str">
        <f>IFERROR(E40/D40-1,"N/A")</f>
        <v>N/A</v>
      </c>
      <c r="F41" s="196">
        <f>IFERROR(F40/E40-1,"N/A")</f>
        <v>-1.4780487804878062E-2</v>
      </c>
      <c r="G41" s="196">
        <f>IFERROR(G40/F40-1,"N/A")</f>
        <v>-6.2385502797444037E-3</v>
      </c>
      <c r="H41" s="197">
        <v>0</v>
      </c>
      <c r="I41" s="197">
        <v>0</v>
      </c>
      <c r="J41" s="197">
        <v>0</v>
      </c>
      <c r="K41" s="197">
        <v>-5.0000000000000001E-3</v>
      </c>
      <c r="L41" s="197">
        <v>-5.0000000000000001E-3</v>
      </c>
      <c r="M41" s="197">
        <v>-5.0000000000000001E-3</v>
      </c>
      <c r="N41" s="197">
        <v>-5.0000000000000001E-3</v>
      </c>
      <c r="O41" s="197">
        <v>-5.0000000000000001E-3</v>
      </c>
      <c r="P41" s="197">
        <v>-5.0000000000000001E-3</v>
      </c>
      <c r="Q41" s="197">
        <v>-5.0000000000000001E-3</v>
      </c>
      <c r="V41" s="324" t="s">
        <v>226</v>
      </c>
      <c r="W41" s="325"/>
      <c r="X41" s="325"/>
      <c r="Y41" s="325"/>
      <c r="Z41" s="325"/>
      <c r="AA41" s="325"/>
      <c r="AB41" s="337">
        <f>-AB40*Tax_Rate</f>
        <v>-364.14</v>
      </c>
      <c r="AC41" s="337">
        <f>-AC40*Tax_Rate</f>
        <v>-369.59999999999997</v>
      </c>
      <c r="AD41"/>
      <c r="AE41"/>
      <c r="AF41"/>
      <c r="AG41"/>
      <c r="AH41"/>
      <c r="AI41"/>
      <c r="AJ41"/>
    </row>
    <row r="42" spans="1:36" ht="15.75" customHeight="1" outlineLevel="1" x14ac:dyDescent="0.35">
      <c r="A42" s="185"/>
      <c r="B42" s="190"/>
      <c r="C42" s="127"/>
      <c r="D42" s="193"/>
      <c r="E42" s="194"/>
      <c r="F42" s="194"/>
      <c r="G42" s="194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V42" s="200" t="s">
        <v>223</v>
      </c>
      <c r="AB42" s="329">
        <f>AB40+AB41</f>
        <v>1369.8600000000001</v>
      </c>
      <c r="AC42" s="329">
        <f>AC40+AC41</f>
        <v>1390.4</v>
      </c>
      <c r="AD42"/>
      <c r="AE42"/>
      <c r="AF42"/>
      <c r="AG42"/>
      <c r="AH42"/>
      <c r="AI42"/>
      <c r="AJ42"/>
    </row>
    <row r="43" spans="1:36" ht="15.75" customHeight="1" outlineLevel="1" x14ac:dyDescent="0.35">
      <c r="A43" s="185"/>
      <c r="B43" s="190"/>
      <c r="C43" s="127" t="s">
        <v>156</v>
      </c>
      <c r="D43" s="193" t="s">
        <v>157</v>
      </c>
      <c r="E43" s="198">
        <f>E61/E40</f>
        <v>1129.219512195122</v>
      </c>
      <c r="F43" s="198">
        <f>F61/F40</f>
        <v>1075.7043125216617</v>
      </c>
      <c r="G43" s="198">
        <f>G61/G40</f>
        <v>1034.5274276319067</v>
      </c>
      <c r="H43" s="198">
        <f>G43*(1+H44)</f>
        <v>1050.0453390463852</v>
      </c>
      <c r="I43" s="198">
        <f t="shared" ref="I43:Q43" si="5">H43*(1+I44)</f>
        <v>1065.7960191320808</v>
      </c>
      <c r="J43" s="198">
        <f t="shared" si="5"/>
        <v>1079.6513673807976</v>
      </c>
      <c r="K43" s="198">
        <f t="shared" si="5"/>
        <v>1093.686835156748</v>
      </c>
      <c r="L43" s="198">
        <f t="shared" si="5"/>
        <v>1104.6237035083154</v>
      </c>
      <c r="M43" s="198">
        <f t="shared" si="5"/>
        <v>1115.6699405433985</v>
      </c>
      <c r="N43" s="198">
        <f t="shared" si="5"/>
        <v>1126.8266399488325</v>
      </c>
      <c r="O43" s="198">
        <f t="shared" si="5"/>
        <v>1138.0949063483208</v>
      </c>
      <c r="P43" s="198">
        <f t="shared" si="5"/>
        <v>1147.1996655991074</v>
      </c>
      <c r="Q43" s="198">
        <f t="shared" si="5"/>
        <v>1156.3772629239004</v>
      </c>
      <c r="V43" s="155" t="s">
        <v>230</v>
      </c>
      <c r="AB43" s="330">
        <v>866</v>
      </c>
      <c r="AC43" s="330">
        <v>879</v>
      </c>
      <c r="AD43"/>
      <c r="AE43"/>
      <c r="AF43"/>
      <c r="AG43"/>
      <c r="AH43"/>
      <c r="AI43"/>
      <c r="AJ43"/>
    </row>
    <row r="44" spans="1:36" ht="15.75" customHeight="1" outlineLevel="1" x14ac:dyDescent="0.35">
      <c r="A44" s="185"/>
      <c r="B44" s="190"/>
      <c r="C44" s="155" t="s">
        <v>154</v>
      </c>
      <c r="D44" s="195" t="s">
        <v>155</v>
      </c>
      <c r="E44" s="196" t="str">
        <f>IFERROR(E43/D43-1,"N/A")</f>
        <v>N/A</v>
      </c>
      <c r="F44" s="196">
        <f>IFERROR(F43/E43-1,"N/A")</f>
        <v>-4.7391316830357133E-2</v>
      </c>
      <c r="G44" s="196">
        <f t="shared" ref="G44" si="6">IFERROR(G43/F43-1,"N/A")</f>
        <v>-3.8278999545170889E-2</v>
      </c>
      <c r="H44" s="197">
        <v>1.4999999999999999E-2</v>
      </c>
      <c r="I44" s="197">
        <v>1.4999999999999999E-2</v>
      </c>
      <c r="J44" s="197">
        <v>1.2999999999999999E-2</v>
      </c>
      <c r="K44" s="197">
        <v>1.2999999999999999E-2</v>
      </c>
      <c r="L44" s="197">
        <v>0.01</v>
      </c>
      <c r="M44" s="197">
        <v>0.01</v>
      </c>
      <c r="N44" s="197">
        <v>0.01</v>
      </c>
      <c r="O44" s="197">
        <v>0.01</v>
      </c>
      <c r="P44" s="197">
        <v>8.0000000000000002E-3</v>
      </c>
      <c r="Q44" s="197">
        <v>8.0000000000000002E-3</v>
      </c>
      <c r="V44" s="155" t="s">
        <v>179</v>
      </c>
      <c r="AB44" s="330">
        <v>-259</v>
      </c>
      <c r="AC44" s="330">
        <v>37</v>
      </c>
      <c r="AD44"/>
      <c r="AE44"/>
      <c r="AF44"/>
      <c r="AG44"/>
      <c r="AH44"/>
      <c r="AI44"/>
      <c r="AJ44"/>
    </row>
    <row r="45" spans="1:36" ht="15.75" customHeight="1" outlineLevel="1" x14ac:dyDescent="0.35">
      <c r="A45" s="185"/>
      <c r="B45" s="190"/>
      <c r="C45" s="127"/>
      <c r="D45" s="193"/>
      <c r="E45" s="198"/>
      <c r="F45" s="198"/>
      <c r="G45" s="198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V45" s="333" t="s">
        <v>225</v>
      </c>
      <c r="W45" s="334"/>
      <c r="X45" s="334"/>
      <c r="Y45" s="334"/>
      <c r="Z45" s="334"/>
      <c r="AA45" s="334"/>
      <c r="AB45" s="330">
        <v>-706</v>
      </c>
      <c r="AC45" s="330">
        <v>-720</v>
      </c>
      <c r="AD45"/>
      <c r="AE45"/>
      <c r="AF45"/>
      <c r="AG45"/>
      <c r="AH45"/>
      <c r="AI45"/>
      <c r="AJ45"/>
    </row>
    <row r="46" spans="1:36" ht="15.75" customHeight="1" outlineLevel="1" x14ac:dyDescent="0.35">
      <c r="A46" s="185"/>
      <c r="B46" s="190"/>
      <c r="C46" s="127" t="s">
        <v>158</v>
      </c>
      <c r="D46" s="193" t="s">
        <v>157</v>
      </c>
      <c r="E46" s="198">
        <f>(E61-E66)/E40</f>
        <v>1081.8536585365853</v>
      </c>
      <c r="F46" s="198">
        <f>(F61-F66)/F40</f>
        <v>1032.9504381838888</v>
      </c>
      <c r="G46" s="198">
        <f>(G61-G66)/G40</f>
        <v>991.33077574610127</v>
      </c>
      <c r="H46" s="198">
        <f>G46*(1+H47)</f>
        <v>1006.2007373822927</v>
      </c>
      <c r="I46" s="198">
        <f t="shared" ref="I46:Q46" si="7">H46*(1+I47)</f>
        <v>1021.293748443027</v>
      </c>
      <c r="J46" s="198">
        <f t="shared" si="7"/>
        <v>1034.5705671727862</v>
      </c>
      <c r="K46" s="198">
        <f t="shared" si="7"/>
        <v>1048.0199845460324</v>
      </c>
      <c r="L46" s="198">
        <f t="shared" si="7"/>
        <v>1058.5001843914929</v>
      </c>
      <c r="M46" s="198">
        <f t="shared" si="7"/>
        <v>1069.0851862354079</v>
      </c>
      <c r="N46" s="198">
        <f t="shared" si="7"/>
        <v>1079.776038097762</v>
      </c>
      <c r="O46" s="198">
        <f t="shared" si="7"/>
        <v>1090.5737984787397</v>
      </c>
      <c r="P46" s="198">
        <f t="shared" si="7"/>
        <v>1099.2983888665697</v>
      </c>
      <c r="Q46" s="198">
        <f t="shared" si="7"/>
        <v>1108.0927759775022</v>
      </c>
      <c r="V46" s="335" t="s">
        <v>178</v>
      </c>
      <c r="W46" s="334"/>
      <c r="X46" s="334"/>
      <c r="Y46" s="334"/>
      <c r="Z46" s="334"/>
      <c r="AA46" s="334"/>
      <c r="AB46" s="338">
        <v>148</v>
      </c>
      <c r="AC46" s="338">
        <v>238</v>
      </c>
      <c r="AD46"/>
      <c r="AE46"/>
      <c r="AF46"/>
      <c r="AG46"/>
      <c r="AH46"/>
      <c r="AI46"/>
      <c r="AJ46"/>
    </row>
    <row r="47" spans="1:36" ht="15.75" customHeight="1" outlineLevel="1" x14ac:dyDescent="0.35">
      <c r="A47" s="185"/>
      <c r="B47" s="190"/>
      <c r="C47" s="155" t="s">
        <v>154</v>
      </c>
      <c r="D47" s="195" t="s">
        <v>155</v>
      </c>
      <c r="E47" s="196" t="str">
        <f>IFERROR(E46/D46-1,"N/A")</f>
        <v>N/A</v>
      </c>
      <c r="F47" s="196">
        <f t="shared" ref="F47:G47" si="8">IFERROR(F46/E46-1,"N/A")</f>
        <v>-4.520317509379923E-2</v>
      </c>
      <c r="G47" s="196">
        <f t="shared" si="8"/>
        <v>-4.0292022636596481E-2</v>
      </c>
      <c r="H47" s="197">
        <v>1.4999999999999999E-2</v>
      </c>
      <c r="I47" s="197">
        <v>1.4999999999999999E-2</v>
      </c>
      <c r="J47" s="197">
        <v>1.2999999999999999E-2</v>
      </c>
      <c r="K47" s="197">
        <v>1.2999999999999999E-2</v>
      </c>
      <c r="L47" s="197">
        <v>0.01</v>
      </c>
      <c r="M47" s="197">
        <v>0.01</v>
      </c>
      <c r="N47" s="197">
        <v>0.01</v>
      </c>
      <c r="O47" s="197">
        <v>0.01</v>
      </c>
      <c r="P47" s="197">
        <v>8.0000000000000002E-3</v>
      </c>
      <c r="Q47" s="197">
        <v>8.0000000000000002E-3</v>
      </c>
      <c r="V47" s="336" t="s">
        <v>176</v>
      </c>
      <c r="W47" s="339"/>
      <c r="X47" s="339"/>
      <c r="Y47" s="339"/>
      <c r="Z47" s="339"/>
      <c r="AA47" s="339"/>
      <c r="AB47" s="337">
        <v>105</v>
      </c>
      <c r="AC47" s="337">
        <v>89</v>
      </c>
    </row>
    <row r="48" spans="1:36" ht="15.75" customHeight="1" outlineLevel="1" x14ac:dyDescent="0.35">
      <c r="A48" s="185"/>
      <c r="B48" s="190"/>
      <c r="C48" s="190"/>
      <c r="D48" s="191"/>
      <c r="E48" s="192"/>
      <c r="F48" s="192"/>
      <c r="G48" s="192"/>
      <c r="H48" s="192"/>
      <c r="I48" s="192"/>
      <c r="J48" s="192"/>
      <c r="K48" s="192"/>
      <c r="L48" s="192"/>
      <c r="M48" s="192"/>
      <c r="N48" s="192"/>
      <c r="O48" s="192"/>
      <c r="P48" s="192"/>
      <c r="Q48" s="192"/>
      <c r="V48" s="239" t="s">
        <v>224</v>
      </c>
      <c r="AB48" s="329">
        <f>SUM(AB42:AB47)</f>
        <v>1523.8600000000001</v>
      </c>
      <c r="AC48" s="329">
        <f>SUM(AC42:AC47)</f>
        <v>1913.4</v>
      </c>
    </row>
    <row r="49" spans="1:28" ht="15.75" customHeight="1" outlineLevel="1" x14ac:dyDescent="0.35">
      <c r="A49" s="185"/>
      <c r="B49" s="190"/>
      <c r="C49" s="127" t="s">
        <v>159</v>
      </c>
      <c r="D49" s="193" t="s">
        <v>157</v>
      </c>
      <c r="E49" s="198">
        <f>-E86/E40</f>
        <v>22.682926829268293</v>
      </c>
      <c r="F49" s="198">
        <f>-F86/F40</f>
        <v>19.681140763479725</v>
      </c>
      <c r="G49" s="198">
        <f>-G86/G40</f>
        <v>17.587564147277163</v>
      </c>
      <c r="H49" s="198">
        <f>G49*(1+H50)</f>
        <v>17.939315430222706</v>
      </c>
      <c r="I49" s="198">
        <f t="shared" ref="I49:Q49" si="9">H49*(1+I50)</f>
        <v>18.29810173882716</v>
      </c>
      <c r="J49" s="198">
        <f t="shared" si="9"/>
        <v>18.664063773603704</v>
      </c>
      <c r="K49" s="198">
        <f t="shared" si="9"/>
        <v>19.037345049075778</v>
      </c>
      <c r="L49" s="198">
        <f t="shared" si="9"/>
        <v>19.322905224811912</v>
      </c>
      <c r="M49" s="198">
        <f t="shared" si="9"/>
        <v>19.61274880318409</v>
      </c>
      <c r="N49" s="198">
        <f t="shared" si="9"/>
        <v>19.906940035231848</v>
      </c>
      <c r="O49" s="198">
        <f t="shared" si="9"/>
        <v>20.205544135760324</v>
      </c>
      <c r="P49" s="198">
        <f t="shared" si="9"/>
        <v>20.407599577117928</v>
      </c>
      <c r="Q49" s="198">
        <f t="shared" si="9"/>
        <v>20.611675572889109</v>
      </c>
      <c r="V49"/>
      <c r="W49"/>
      <c r="X49"/>
      <c r="Y49"/>
      <c r="Z49"/>
      <c r="AA49"/>
      <c r="AB49"/>
    </row>
    <row r="50" spans="1:28" ht="15.75" customHeight="1" outlineLevel="1" x14ac:dyDescent="0.35">
      <c r="A50" s="185"/>
      <c r="B50" s="190"/>
      <c r="C50" s="155" t="s">
        <v>154</v>
      </c>
      <c r="D50" s="195" t="s">
        <v>155</v>
      </c>
      <c r="E50" s="196" t="str">
        <f>IFERROR(E49/D49-1,"N/A")</f>
        <v>N/A</v>
      </c>
      <c r="F50" s="196">
        <f>IFERROR(F49/E49-1,"N/A")</f>
        <v>-0.13233680505089385</v>
      </c>
      <c r="G50" s="196">
        <f t="shared" ref="G50" si="10">IFERROR(G49/F49-1,"N/A")</f>
        <v>-0.1063747595407375</v>
      </c>
      <c r="H50" s="197">
        <v>0.02</v>
      </c>
      <c r="I50" s="197">
        <v>0.02</v>
      </c>
      <c r="J50" s="197">
        <v>0.02</v>
      </c>
      <c r="K50" s="197">
        <v>0.02</v>
      </c>
      <c r="L50" s="197">
        <v>1.4999999999999999E-2</v>
      </c>
      <c r="M50" s="197">
        <v>1.4999999999999999E-2</v>
      </c>
      <c r="N50" s="197">
        <v>1.4999999999999999E-2</v>
      </c>
      <c r="O50" s="197">
        <v>1.4999999999999999E-2</v>
      </c>
      <c r="P50" s="197">
        <v>0.01</v>
      </c>
      <c r="Q50" s="197">
        <v>0.01</v>
      </c>
      <c r="V50"/>
      <c r="W50"/>
      <c r="X50"/>
      <c r="Y50"/>
      <c r="Z50"/>
      <c r="AA50"/>
      <c r="AB50"/>
    </row>
    <row r="51" spans="1:28" ht="15.75" customHeight="1" outlineLevel="1" x14ac:dyDescent="0.35">
      <c r="A51" s="185"/>
      <c r="B51" s="190"/>
      <c r="C51" s="190"/>
      <c r="D51" s="191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V51"/>
      <c r="W51"/>
      <c r="X51"/>
      <c r="Y51"/>
      <c r="Z51"/>
      <c r="AA51"/>
      <c r="AB51"/>
    </row>
    <row r="52" spans="1:28" ht="15.75" customHeight="1" outlineLevel="1" x14ac:dyDescent="0.35">
      <c r="A52" s="185"/>
      <c r="B52" s="190"/>
      <c r="C52" s="127" t="s">
        <v>160</v>
      </c>
      <c r="D52" s="193" t="s">
        <v>157</v>
      </c>
      <c r="E52" s="198">
        <f>E74/E40</f>
        <v>22.390243902439025</v>
      </c>
      <c r="F52" s="198">
        <f t="shared" ref="F52:G52" si="11">F74/F40</f>
        <v>22.849928207159479</v>
      </c>
      <c r="G52" s="198">
        <f t="shared" si="11"/>
        <v>21.573414378954709</v>
      </c>
      <c r="H52" s="198">
        <f>G52*(1+H53)</f>
        <v>21.897015594639029</v>
      </c>
      <c r="I52" s="198">
        <f t="shared" ref="I52:Q52" si="12">H52*(1+I53)</f>
        <v>22.225470828558613</v>
      </c>
      <c r="J52" s="198">
        <f t="shared" si="12"/>
        <v>22.514401949329873</v>
      </c>
      <c r="K52" s="198">
        <f t="shared" si="12"/>
        <v>22.807089174671159</v>
      </c>
      <c r="L52" s="198">
        <f t="shared" si="12"/>
        <v>23.03516006641787</v>
      </c>
      <c r="M52" s="198">
        <f t="shared" si="12"/>
        <v>23.265511667082048</v>
      </c>
      <c r="N52" s="198">
        <f t="shared" si="12"/>
        <v>23.498166783752868</v>
      </c>
      <c r="O52" s="198">
        <f t="shared" si="12"/>
        <v>23.733148451590399</v>
      </c>
      <c r="P52" s="198">
        <f t="shared" si="12"/>
        <v>23.923013639203123</v>
      </c>
      <c r="Q52" s="198">
        <f t="shared" si="12"/>
        <v>24.114397748316748</v>
      </c>
      <c r="V52"/>
      <c r="W52"/>
      <c r="X52"/>
      <c r="Y52"/>
      <c r="Z52"/>
      <c r="AA52"/>
      <c r="AB52"/>
    </row>
    <row r="53" spans="1:28" ht="15.75" customHeight="1" outlineLevel="1" x14ac:dyDescent="0.35">
      <c r="A53" s="185"/>
      <c r="B53" s="190"/>
      <c r="C53" s="155" t="s">
        <v>154</v>
      </c>
      <c r="D53" s="195" t="s">
        <v>155</v>
      </c>
      <c r="E53" s="196" t="str">
        <f>IFERROR(E52/D52-1,"N/A")</f>
        <v>N/A</v>
      </c>
      <c r="F53" s="196">
        <f t="shared" ref="F53:G53" si="13">IFERROR(F52/E52-1,"N/A")</f>
        <v>2.0530562629127003E-2</v>
      </c>
      <c r="G53" s="196">
        <f t="shared" si="13"/>
        <v>-5.5865113300653801E-2</v>
      </c>
      <c r="H53" s="197">
        <v>1.4999999999999999E-2</v>
      </c>
      <c r="I53" s="197">
        <v>1.4999999999999999E-2</v>
      </c>
      <c r="J53" s="197">
        <v>1.2999999999999999E-2</v>
      </c>
      <c r="K53" s="197">
        <v>1.2999999999999999E-2</v>
      </c>
      <c r="L53" s="197">
        <v>0.01</v>
      </c>
      <c r="M53" s="197">
        <v>0.01</v>
      </c>
      <c r="N53" s="197">
        <v>0.01</v>
      </c>
      <c r="O53" s="197">
        <v>0.01</v>
      </c>
      <c r="P53" s="197">
        <v>8.0000000000000002E-3</v>
      </c>
      <c r="Q53" s="197">
        <v>8.0000000000000002E-3</v>
      </c>
      <c r="V53"/>
      <c r="W53"/>
      <c r="X53"/>
      <c r="Y53"/>
      <c r="Z53"/>
      <c r="AA53"/>
      <c r="AB53"/>
    </row>
    <row r="54" spans="1:28" ht="15.75" customHeight="1" outlineLevel="1" x14ac:dyDescent="0.35">
      <c r="A54" s="185"/>
      <c r="B54" s="190"/>
      <c r="C54" s="190"/>
      <c r="D54" s="191"/>
      <c r="E54" s="192"/>
      <c r="F54" s="192"/>
      <c r="G54" s="192"/>
      <c r="H54" s="192"/>
      <c r="I54" s="192"/>
      <c r="J54" s="192"/>
      <c r="K54" s="192"/>
      <c r="L54" s="192"/>
      <c r="M54" s="192"/>
      <c r="N54" s="192"/>
      <c r="O54" s="192"/>
      <c r="P54" s="192"/>
      <c r="Q54" s="192"/>
      <c r="V54"/>
      <c r="W54"/>
      <c r="X54"/>
      <c r="Y54"/>
      <c r="Z54"/>
      <c r="AA54"/>
      <c r="AB54"/>
    </row>
    <row r="55" spans="1:28" ht="15.75" customHeight="1" outlineLevel="1" x14ac:dyDescent="0.35">
      <c r="A55" s="185"/>
      <c r="B55" s="190"/>
      <c r="C55" s="127" t="s">
        <v>161</v>
      </c>
      <c r="D55" s="193" t="s">
        <v>157</v>
      </c>
      <c r="E55" s="198"/>
      <c r="F55" s="198"/>
      <c r="G55" s="198"/>
      <c r="H55" s="199">
        <v>150</v>
      </c>
      <c r="I55" s="198">
        <f>H55*(1+I56)</f>
        <v>154.5</v>
      </c>
      <c r="J55" s="198">
        <f t="shared" ref="J55:Q55" si="14">I55*(1+J56)</f>
        <v>159.13499999999999</v>
      </c>
      <c r="K55" s="198">
        <f t="shared" si="14"/>
        <v>163.11337499999999</v>
      </c>
      <c r="L55" s="198">
        <f t="shared" si="14"/>
        <v>167.19120937499997</v>
      </c>
      <c r="M55" s="198">
        <f t="shared" si="14"/>
        <v>170.53503356249996</v>
      </c>
      <c r="N55" s="198">
        <f t="shared" si="14"/>
        <v>173.94573423374996</v>
      </c>
      <c r="O55" s="198">
        <f t="shared" si="14"/>
        <v>176.55492024725621</v>
      </c>
      <c r="P55" s="198">
        <f t="shared" si="14"/>
        <v>179.20324405096503</v>
      </c>
      <c r="Q55" s="198">
        <f t="shared" si="14"/>
        <v>180.99527649147467</v>
      </c>
      <c r="V55"/>
      <c r="W55"/>
      <c r="X55"/>
      <c r="Y55"/>
      <c r="Z55"/>
      <c r="AA55"/>
      <c r="AB55"/>
    </row>
    <row r="56" spans="1:28" ht="15.75" customHeight="1" outlineLevel="1" x14ac:dyDescent="0.35">
      <c r="A56" s="185"/>
      <c r="B56" s="190"/>
      <c r="C56" s="155" t="s">
        <v>154</v>
      </c>
      <c r="D56" s="195" t="s">
        <v>155</v>
      </c>
      <c r="E56" s="196"/>
      <c r="F56" s="196"/>
      <c r="G56" s="196"/>
      <c r="H56" s="192"/>
      <c r="I56" s="197">
        <v>0.03</v>
      </c>
      <c r="J56" s="197">
        <v>0.03</v>
      </c>
      <c r="K56" s="197">
        <v>2.5000000000000001E-2</v>
      </c>
      <c r="L56" s="197">
        <v>2.5000000000000001E-2</v>
      </c>
      <c r="M56" s="197">
        <v>0.02</v>
      </c>
      <c r="N56" s="197">
        <v>0.02</v>
      </c>
      <c r="O56" s="197">
        <v>1.4999999999999999E-2</v>
      </c>
      <c r="P56" s="197">
        <v>1.4999999999999999E-2</v>
      </c>
      <c r="Q56" s="197">
        <v>0.01</v>
      </c>
      <c r="V56"/>
      <c r="W56"/>
      <c r="X56"/>
      <c r="Y56"/>
      <c r="Z56"/>
      <c r="AA56"/>
      <c r="AB56"/>
    </row>
    <row r="57" spans="1:28" ht="15.75" customHeight="1" outlineLevel="1" x14ac:dyDescent="0.35">
      <c r="A57" s="185"/>
      <c r="B57" s="190"/>
      <c r="C57" s="190"/>
      <c r="D57" s="191"/>
      <c r="E57" s="192"/>
      <c r="F57" s="192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</row>
    <row r="58" spans="1:28" ht="15.75" customHeight="1" outlineLevel="1" x14ac:dyDescent="0.35">
      <c r="A58" s="185"/>
      <c r="B58" s="190"/>
      <c r="C58" s="127" t="s">
        <v>162</v>
      </c>
      <c r="D58" s="195" t="s">
        <v>155</v>
      </c>
      <c r="E58" s="196" t="str">
        <f>IFERROR(E62/D62-1,"N/A")</f>
        <v>N/A</v>
      </c>
      <c r="F58" s="196" t="str">
        <f>IFERROR(F62/E62-1,"N/A")</f>
        <v>N/A</v>
      </c>
      <c r="G58" s="196" t="str">
        <f>IFERROR(G62/F62-1,"N/A")</f>
        <v>N/A</v>
      </c>
      <c r="H58" s="197">
        <v>0.03</v>
      </c>
      <c r="I58" s="197">
        <v>0.03</v>
      </c>
      <c r="J58" s="197">
        <v>2.5000000000000001E-2</v>
      </c>
      <c r="K58" s="197">
        <v>2.5000000000000001E-2</v>
      </c>
      <c r="L58" s="197">
        <v>0.02</v>
      </c>
      <c r="M58" s="197">
        <v>0.02</v>
      </c>
      <c r="N58" s="197">
        <v>1.4999999999999999E-2</v>
      </c>
      <c r="O58" s="197">
        <v>1.4999999999999999E-2</v>
      </c>
      <c r="P58" s="197">
        <v>0.01</v>
      </c>
      <c r="Q58" s="197">
        <v>0.01</v>
      </c>
    </row>
    <row r="59" spans="1:28" ht="15.75" customHeight="1" outlineLevel="1" x14ac:dyDescent="0.35">
      <c r="A59" s="185"/>
      <c r="B59" s="190"/>
      <c r="C59" s="190"/>
      <c r="D59" s="191"/>
      <c r="E59" s="192"/>
      <c r="F59" s="192"/>
      <c r="G59" s="192"/>
      <c r="H59" s="192"/>
      <c r="I59" s="192"/>
      <c r="J59" s="192"/>
      <c r="K59" s="192"/>
      <c r="L59" s="192"/>
      <c r="M59" s="192"/>
      <c r="N59" s="192"/>
      <c r="O59" s="192"/>
      <c r="P59" s="192"/>
      <c r="Q59" s="192"/>
    </row>
    <row r="60" spans="1:28" ht="15.75" customHeight="1" outlineLevel="1" x14ac:dyDescent="0.35">
      <c r="A60" s="185"/>
      <c r="B60" s="190"/>
      <c r="C60" s="200" t="s">
        <v>163</v>
      </c>
      <c r="D60" s="191"/>
      <c r="E60" s="192"/>
      <c r="F60" s="192"/>
      <c r="G60" s="192"/>
      <c r="H60" s="192"/>
      <c r="I60" s="192"/>
      <c r="J60" s="192"/>
      <c r="K60" s="192"/>
      <c r="L60" s="192"/>
      <c r="M60" s="192"/>
      <c r="N60" s="192"/>
      <c r="O60" s="192"/>
      <c r="P60" s="192"/>
      <c r="Q60" s="192"/>
    </row>
    <row r="61" spans="1:28" ht="15.75" customHeight="1" outlineLevel="1" x14ac:dyDescent="0.35">
      <c r="A61" s="185"/>
      <c r="B61" s="190"/>
      <c r="C61" s="155" t="s">
        <v>164</v>
      </c>
      <c r="D61" s="201" t="s">
        <v>165</v>
      </c>
      <c r="E61" s="202">
        <v>46298</v>
      </c>
      <c r="F61" s="202">
        <v>43452</v>
      </c>
      <c r="G61" s="202">
        <v>41528</v>
      </c>
      <c r="H61" s="203">
        <f>H40*H43</f>
        <v>42150.92</v>
      </c>
      <c r="I61" s="203">
        <f>I40*I43</f>
        <v>42783.183799999992</v>
      </c>
      <c r="J61" s="203">
        <f t="shared" ref="J61:Q61" si="15">J40*J43</f>
        <v>43339.365189399985</v>
      </c>
      <c r="K61" s="203">
        <f t="shared" si="15"/>
        <v>43683.26305217787</v>
      </c>
      <c r="L61" s="203">
        <f t="shared" si="15"/>
        <v>43899.495204286148</v>
      </c>
      <c r="M61" s="203">
        <f t="shared" si="15"/>
        <v>44116.79770554736</v>
      </c>
      <c r="N61" s="203">
        <f t="shared" si="15"/>
        <v>44335.175854189823</v>
      </c>
      <c r="O61" s="203">
        <f t="shared" si="15"/>
        <v>44554.634974668057</v>
      </c>
      <c r="P61" s="203">
        <f t="shared" si="15"/>
        <v>44686.51669419308</v>
      </c>
      <c r="Q61" s="203">
        <f t="shared" si="15"/>
        <v>44818.788783607895</v>
      </c>
    </row>
    <row r="62" spans="1:28" ht="15.75" customHeight="1" outlineLevel="1" x14ac:dyDescent="0.35">
      <c r="A62" s="185"/>
      <c r="B62" s="190"/>
      <c r="C62" s="155" t="s">
        <v>166</v>
      </c>
      <c r="D62" s="204" t="s">
        <v>165</v>
      </c>
      <c r="E62" s="205">
        <v>0</v>
      </c>
      <c r="F62" s="205">
        <v>0</v>
      </c>
      <c r="G62" s="205">
        <v>0</v>
      </c>
      <c r="H62" s="206">
        <f>G62*(1+H58)</f>
        <v>0</v>
      </c>
      <c r="I62" s="206">
        <f>H62*(1+I58)</f>
        <v>0</v>
      </c>
      <c r="J62" s="206">
        <f t="shared" ref="J62:Q62" si="16">I62*(1+J58)</f>
        <v>0</v>
      </c>
      <c r="K62" s="206">
        <f t="shared" si="16"/>
        <v>0</v>
      </c>
      <c r="L62" s="206">
        <f t="shared" si="16"/>
        <v>0</v>
      </c>
      <c r="M62" s="206">
        <f t="shared" si="16"/>
        <v>0</v>
      </c>
      <c r="N62" s="206">
        <f t="shared" si="16"/>
        <v>0</v>
      </c>
      <c r="O62" s="206">
        <f t="shared" si="16"/>
        <v>0</v>
      </c>
      <c r="P62" s="206">
        <f t="shared" si="16"/>
        <v>0</v>
      </c>
      <c r="Q62" s="206">
        <f t="shared" si="16"/>
        <v>0</v>
      </c>
    </row>
    <row r="63" spans="1:28" ht="15.75" customHeight="1" outlineLevel="1" x14ac:dyDescent="0.35">
      <c r="A63" s="185"/>
      <c r="B63" s="190"/>
      <c r="C63" s="207" t="s">
        <v>167</v>
      </c>
      <c r="D63" s="201" t="s">
        <v>165</v>
      </c>
      <c r="E63" s="208">
        <f t="shared" ref="E63:G63" si="17">SUM(E61:E62)</f>
        <v>46298</v>
      </c>
      <c r="F63" s="208">
        <f t="shared" si="17"/>
        <v>43452</v>
      </c>
      <c r="G63" s="208">
        <f t="shared" si="17"/>
        <v>41528</v>
      </c>
      <c r="H63" s="208">
        <f>SUM(H61:H62)</f>
        <v>42150.92</v>
      </c>
      <c r="I63" s="208">
        <f t="shared" ref="I63:Q63" si="18">SUM(I61:I62)</f>
        <v>42783.183799999992</v>
      </c>
      <c r="J63" s="208">
        <f t="shared" si="18"/>
        <v>43339.365189399985</v>
      </c>
      <c r="K63" s="208">
        <f t="shared" si="18"/>
        <v>43683.26305217787</v>
      </c>
      <c r="L63" s="208">
        <f t="shared" si="18"/>
        <v>43899.495204286148</v>
      </c>
      <c r="M63" s="208">
        <f t="shared" si="18"/>
        <v>44116.79770554736</v>
      </c>
      <c r="N63" s="208">
        <f t="shared" si="18"/>
        <v>44335.175854189823</v>
      </c>
      <c r="O63" s="208">
        <f t="shared" si="18"/>
        <v>44554.634974668057</v>
      </c>
      <c r="P63" s="208">
        <f t="shared" si="18"/>
        <v>44686.51669419308</v>
      </c>
      <c r="Q63" s="208">
        <f t="shared" si="18"/>
        <v>44818.788783607895</v>
      </c>
    </row>
    <row r="64" spans="1:28" ht="15.75" customHeight="1" outlineLevel="1" x14ac:dyDescent="0.35">
      <c r="A64" s="185"/>
      <c r="B64" s="190"/>
      <c r="C64" s="193" t="s">
        <v>168</v>
      </c>
      <c r="D64" s="195" t="s">
        <v>155</v>
      </c>
      <c r="E64" s="209" t="str">
        <f>IFERROR(E63/D63-1,"N/A")</f>
        <v>N/A</v>
      </c>
      <c r="F64" s="209">
        <f>IFERROR(F63/E63-1,"N/A")</f>
        <v>-6.1471337854766994E-2</v>
      </c>
      <c r="G64" s="209">
        <f>IFERROR(G63/F63-1,"N/A")</f>
        <v>-4.4278744361594402E-2</v>
      </c>
      <c r="H64" s="209">
        <f>IFERROR(H63/G63-1,"N/A")</f>
        <v>1.4999999999999902E-2</v>
      </c>
      <c r="I64" s="209">
        <f t="shared" ref="I64:Q64" si="19">IFERROR(I63/H63-1,"N/A")</f>
        <v>1.4999999999999902E-2</v>
      </c>
      <c r="J64" s="209">
        <f t="shared" si="19"/>
        <v>1.2999999999999901E-2</v>
      </c>
      <c r="K64" s="209">
        <f t="shared" si="19"/>
        <v>7.9349999999998033E-3</v>
      </c>
      <c r="L64" s="209">
        <f t="shared" si="19"/>
        <v>4.9500000000000099E-3</v>
      </c>
      <c r="M64" s="209">
        <f t="shared" si="19"/>
        <v>4.9500000000000099E-3</v>
      </c>
      <c r="N64" s="209">
        <f t="shared" si="19"/>
        <v>4.9500000000000099E-3</v>
      </c>
      <c r="O64" s="209">
        <f t="shared" si="19"/>
        <v>4.9499999999997879E-3</v>
      </c>
      <c r="P64" s="209">
        <f>IFERROR(P63/O63-1,"N/A")</f>
        <v>2.9600000000000737E-3</v>
      </c>
      <c r="Q64" s="209">
        <f t="shared" si="19"/>
        <v>2.9600000000000737E-3</v>
      </c>
    </row>
    <row r="65" spans="1:17" ht="15.75" customHeight="1" outlineLevel="1" x14ac:dyDescent="0.35">
      <c r="A65" s="185"/>
      <c r="B65" s="190"/>
      <c r="C65" s="190"/>
      <c r="D65" s="191"/>
      <c r="E65" s="192"/>
      <c r="F65" s="192"/>
      <c r="G65" s="192"/>
      <c r="H65" s="192"/>
      <c r="I65" s="192"/>
      <c r="J65" s="192"/>
      <c r="K65" s="192"/>
      <c r="L65" s="192"/>
      <c r="M65" s="192"/>
      <c r="N65" s="192"/>
      <c r="O65" s="192"/>
      <c r="P65" s="192"/>
      <c r="Q65" s="192"/>
    </row>
    <row r="66" spans="1:17" outlineLevel="1" x14ac:dyDescent="0.35">
      <c r="C66" s="116" t="s">
        <v>169</v>
      </c>
      <c r="D66" s="210" t="s">
        <v>165</v>
      </c>
      <c r="E66" s="205">
        <v>1942</v>
      </c>
      <c r="F66" s="205">
        <v>1727</v>
      </c>
      <c r="G66" s="205">
        <v>1734</v>
      </c>
      <c r="H66" s="206">
        <f>H61-H46*H40</f>
        <v>1760.010000000002</v>
      </c>
      <c r="I66" s="206">
        <f t="shared" ref="I66:Q66" si="20">I61-I46*I40</f>
        <v>1786.4101500000033</v>
      </c>
      <c r="J66" s="206">
        <f t="shared" si="20"/>
        <v>1809.6334819499971</v>
      </c>
      <c r="K66" s="206">
        <f t="shared" si="20"/>
        <v>1823.9929236292664</v>
      </c>
      <c r="L66" s="206">
        <f t="shared" si="20"/>
        <v>1833.0216886012277</v>
      </c>
      <c r="M66" s="206">
        <f t="shared" si="20"/>
        <v>1842.0951459597927</v>
      </c>
      <c r="N66" s="206">
        <f t="shared" si="20"/>
        <v>1851.213516932301</v>
      </c>
      <c r="O66" s="206">
        <f t="shared" si="20"/>
        <v>1860.3770238411016</v>
      </c>
      <c r="P66" s="206">
        <f t="shared" si="20"/>
        <v>1865.8837398316755</v>
      </c>
      <c r="Q66" s="206">
        <f t="shared" si="20"/>
        <v>1871.4067557015806</v>
      </c>
    </row>
    <row r="67" spans="1:17" outlineLevel="1" x14ac:dyDescent="0.35">
      <c r="C67" s="211" t="s">
        <v>170</v>
      </c>
      <c r="D67" s="195" t="s">
        <v>155</v>
      </c>
      <c r="E67" s="212">
        <f>E66/E63</f>
        <v>4.1945656399844489E-2</v>
      </c>
      <c r="F67" s="212">
        <f>F66/F63</f>
        <v>3.97450059836141E-2</v>
      </c>
      <c r="G67" s="212">
        <f>G66/G63</f>
        <v>4.1754960508572532E-2</v>
      </c>
      <c r="H67" s="212">
        <f>H66/H63</f>
        <v>4.1754960508572581E-2</v>
      </c>
      <c r="I67" s="212">
        <f t="shared" ref="I67:Q67" si="21">I66/I63</f>
        <v>4.1754960508572615E-2</v>
      </c>
      <c r="J67" s="212">
        <f t="shared" si="21"/>
        <v>4.1754960508572476E-2</v>
      </c>
      <c r="K67" s="212">
        <f t="shared" si="21"/>
        <v>4.1754960508572393E-2</v>
      </c>
      <c r="L67" s="212">
        <f t="shared" si="21"/>
        <v>4.175496050857231E-2</v>
      </c>
      <c r="M67" s="212">
        <f t="shared" si="21"/>
        <v>4.1754960508572067E-2</v>
      </c>
      <c r="N67" s="212">
        <f t="shared" si="21"/>
        <v>4.1754960508572227E-2</v>
      </c>
      <c r="O67" s="212">
        <f t="shared" si="21"/>
        <v>4.1754960508571914E-2</v>
      </c>
      <c r="P67" s="212">
        <f t="shared" si="21"/>
        <v>4.1754960508571998E-2</v>
      </c>
      <c r="Q67" s="212">
        <f t="shared" si="21"/>
        <v>4.1754960508572074E-2</v>
      </c>
    </row>
    <row r="68" spans="1:17" outlineLevel="1" x14ac:dyDescent="0.35">
      <c r="F68" s="116"/>
    </row>
    <row r="69" spans="1:17" outlineLevel="1" x14ac:dyDescent="0.35">
      <c r="C69" s="213" t="s">
        <v>171</v>
      </c>
      <c r="D69" s="210" t="s">
        <v>165</v>
      </c>
      <c r="E69" s="206">
        <f>-E66*Tax_Rate</f>
        <v>-407.82</v>
      </c>
      <c r="F69" s="206">
        <f t="shared" ref="F69:G69" si="22">-F66*Tax_Rate</f>
        <v>-362.66999999999996</v>
      </c>
      <c r="G69" s="206">
        <f t="shared" si="22"/>
        <v>-364.14</v>
      </c>
      <c r="H69" s="206">
        <f t="shared" ref="H69:Q69" si="23">-H66*Tax_Rate</f>
        <v>-369.60210000000041</v>
      </c>
      <c r="I69" s="206">
        <f t="shared" si="23"/>
        <v>-375.14613150000071</v>
      </c>
      <c r="J69" s="206">
        <f t="shared" si="23"/>
        <v>-380.02303120949938</v>
      </c>
      <c r="K69" s="206">
        <f t="shared" si="23"/>
        <v>-383.03851396214594</v>
      </c>
      <c r="L69" s="206">
        <f t="shared" si="23"/>
        <v>-384.93455460625779</v>
      </c>
      <c r="M69" s="206">
        <f t="shared" si="23"/>
        <v>-386.83998065155646</v>
      </c>
      <c r="N69" s="206">
        <f t="shared" si="23"/>
        <v>-388.75483855578318</v>
      </c>
      <c r="O69" s="206">
        <f t="shared" si="23"/>
        <v>-390.67917500663134</v>
      </c>
      <c r="P69" s="206">
        <f t="shared" si="23"/>
        <v>-391.83558536465182</v>
      </c>
      <c r="Q69" s="206">
        <f t="shared" si="23"/>
        <v>-392.9954186973319</v>
      </c>
    </row>
    <row r="70" spans="1:17" outlineLevel="1" x14ac:dyDescent="0.35">
      <c r="C70" s="213"/>
      <c r="F70" s="116"/>
    </row>
    <row r="71" spans="1:17" outlineLevel="1" x14ac:dyDescent="0.35">
      <c r="C71" s="214" t="s">
        <v>172</v>
      </c>
      <c r="D71" s="210" t="s">
        <v>165</v>
      </c>
      <c r="E71" s="215">
        <f t="shared" ref="E71:F71" si="24">+E66+E69</f>
        <v>1534.18</v>
      </c>
      <c r="F71" s="215">
        <f t="shared" si="24"/>
        <v>1364.33</v>
      </c>
      <c r="G71" s="215">
        <f>+G66+G69</f>
        <v>1369.8600000000001</v>
      </c>
      <c r="H71" s="215">
        <f>H66+H69</f>
        <v>1390.4079000000015</v>
      </c>
      <c r="I71" s="215">
        <f t="shared" ref="I71:Q71" si="25">I66+I69</f>
        <v>1411.2640185000027</v>
      </c>
      <c r="J71" s="215">
        <f t="shared" si="25"/>
        <v>1429.6104507404978</v>
      </c>
      <c r="K71" s="215">
        <f t="shared" si="25"/>
        <v>1440.9544096671204</v>
      </c>
      <c r="L71" s="215">
        <f t="shared" si="25"/>
        <v>1448.0871339949699</v>
      </c>
      <c r="M71" s="215">
        <f t="shared" si="25"/>
        <v>1455.2551653082362</v>
      </c>
      <c r="N71" s="215">
        <f t="shared" si="25"/>
        <v>1462.4586783765178</v>
      </c>
      <c r="O71" s="215">
        <f t="shared" si="25"/>
        <v>1469.6978488344703</v>
      </c>
      <c r="P71" s="215">
        <f t="shared" si="25"/>
        <v>1474.0481544670238</v>
      </c>
      <c r="Q71" s="215">
        <f t="shared" si="25"/>
        <v>1478.4113370042487</v>
      </c>
    </row>
    <row r="72" spans="1:17" outlineLevel="1" x14ac:dyDescent="0.35">
      <c r="F72" s="116"/>
    </row>
    <row r="73" spans="1:17" outlineLevel="1" x14ac:dyDescent="0.35">
      <c r="C73" s="214" t="s">
        <v>173</v>
      </c>
      <c r="F73" s="116"/>
    </row>
    <row r="74" spans="1:17" outlineLevel="1" x14ac:dyDescent="0.35">
      <c r="C74" s="216" t="s">
        <v>174</v>
      </c>
      <c r="D74" s="210" t="s">
        <v>165</v>
      </c>
      <c r="E74" s="205">
        <v>918</v>
      </c>
      <c r="F74" s="205">
        <v>923</v>
      </c>
      <c r="G74" s="205">
        <v>866</v>
      </c>
      <c r="H74" s="206">
        <f>H52*H40</f>
        <v>878.99</v>
      </c>
      <c r="I74" s="206">
        <f t="shared" ref="I74:Q74" si="26">I52*I40</f>
        <v>892.17484999999988</v>
      </c>
      <c r="J74" s="206">
        <f t="shared" si="26"/>
        <v>903.77312304999987</v>
      </c>
      <c r="K74" s="206">
        <f t="shared" si="26"/>
        <v>910.94456278140149</v>
      </c>
      <c r="L74" s="206">
        <f t="shared" si="26"/>
        <v>915.45373836716931</v>
      </c>
      <c r="M74" s="206">
        <f t="shared" si="26"/>
        <v>919.98523437208689</v>
      </c>
      <c r="N74" s="206">
        <f t="shared" si="26"/>
        <v>924.53916128222863</v>
      </c>
      <c r="O74" s="206">
        <f t="shared" si="26"/>
        <v>929.11563013057571</v>
      </c>
      <c r="P74" s="206">
        <f t="shared" si="26"/>
        <v>931.8658123957623</v>
      </c>
      <c r="Q74" s="206">
        <f t="shared" si="26"/>
        <v>934.62413520045379</v>
      </c>
    </row>
    <row r="75" spans="1:17" outlineLevel="1" x14ac:dyDescent="0.35">
      <c r="C75" s="217" t="s">
        <v>175</v>
      </c>
      <c r="D75" s="195" t="s">
        <v>155</v>
      </c>
      <c r="E75" s="212">
        <f>E74/E63</f>
        <v>1.9828070327011966E-2</v>
      </c>
      <c r="F75" s="212">
        <f t="shared" ref="F75:Q75" si="27">F74/F63</f>
        <v>2.1241830065359478E-2</v>
      </c>
      <c r="G75" s="212">
        <f t="shared" si="27"/>
        <v>2.0853400115584664E-2</v>
      </c>
      <c r="H75" s="212">
        <f t="shared" si="27"/>
        <v>2.0853400115584668E-2</v>
      </c>
      <c r="I75" s="212">
        <f t="shared" si="27"/>
        <v>2.0853400115584668E-2</v>
      </c>
      <c r="J75" s="212">
        <f t="shared" si="27"/>
        <v>2.0853400115584671E-2</v>
      </c>
      <c r="K75" s="212">
        <f t="shared" si="27"/>
        <v>2.0853400115584668E-2</v>
      </c>
      <c r="L75" s="212">
        <f t="shared" si="27"/>
        <v>2.0853400115584668E-2</v>
      </c>
      <c r="M75" s="212">
        <f t="shared" si="27"/>
        <v>2.0853400115584671E-2</v>
      </c>
      <c r="N75" s="212">
        <f t="shared" si="27"/>
        <v>2.0853400115584668E-2</v>
      </c>
      <c r="O75" s="212">
        <f t="shared" si="27"/>
        <v>2.0853400115584671E-2</v>
      </c>
      <c r="P75" s="212">
        <f t="shared" si="27"/>
        <v>2.0853400115584671E-2</v>
      </c>
      <c r="Q75" s="212">
        <f t="shared" si="27"/>
        <v>2.0853400115584671E-2</v>
      </c>
    </row>
    <row r="76" spans="1:17" outlineLevel="1" x14ac:dyDescent="0.35">
      <c r="C76" s="216"/>
      <c r="D76" s="210"/>
      <c r="E76" s="218"/>
      <c r="F76" s="218"/>
      <c r="G76" s="218"/>
      <c r="H76" s="218"/>
      <c r="I76" s="218"/>
      <c r="J76" s="218"/>
      <c r="K76" s="218"/>
      <c r="L76" s="218"/>
    </row>
    <row r="77" spans="1:17" outlineLevel="1" x14ac:dyDescent="0.35">
      <c r="C77" s="216" t="s">
        <v>176</v>
      </c>
      <c r="D77" s="210" t="s">
        <v>165</v>
      </c>
      <c r="E77" s="206">
        <f>-E78*E69</f>
        <v>84.392281879194627</v>
      </c>
      <c r="F77" s="206">
        <f t="shared" ref="F77:G77" si="28">-F78*F69</f>
        <v>85.241992597162238</v>
      </c>
      <c r="G77" s="206">
        <f t="shared" si="28"/>
        <v>104.60237837837838</v>
      </c>
      <c r="H77" s="206">
        <f>-H78*H69</f>
        <v>88.704504000000099</v>
      </c>
      <c r="I77" s="206">
        <f t="shared" ref="I77:Q77" si="29">-I78*I69</f>
        <v>90.035071560000162</v>
      </c>
      <c r="J77" s="206">
        <f t="shared" si="29"/>
        <v>91.205527490279849</v>
      </c>
      <c r="K77" s="206">
        <f t="shared" si="29"/>
        <v>91.929243350915016</v>
      </c>
      <c r="L77" s="206">
        <f t="shared" si="29"/>
        <v>92.384293105501868</v>
      </c>
      <c r="M77" s="206">
        <f t="shared" si="29"/>
        <v>92.841595356373546</v>
      </c>
      <c r="N77" s="206">
        <f t="shared" si="29"/>
        <v>93.30116125338796</v>
      </c>
      <c r="O77" s="206">
        <f t="shared" si="29"/>
        <v>93.763002001591516</v>
      </c>
      <c r="P77" s="206">
        <f t="shared" si="29"/>
        <v>94.040540487516438</v>
      </c>
      <c r="Q77" s="206">
        <f t="shared" si="29"/>
        <v>94.318900487359656</v>
      </c>
    </row>
    <row r="78" spans="1:17" outlineLevel="1" x14ac:dyDescent="0.35">
      <c r="C78" s="219" t="s">
        <v>177</v>
      </c>
      <c r="D78" s="195" t="s">
        <v>155</v>
      </c>
      <c r="E78" s="220">
        <f>370/1788</f>
        <v>0.20693512304250558</v>
      </c>
      <c r="F78" s="220">
        <f>381/1621</f>
        <v>0.2350400987045034</v>
      </c>
      <c r="G78" s="220">
        <f>372/1295</f>
        <v>0.28725868725868725</v>
      </c>
      <c r="H78" s="197">
        <v>0.24</v>
      </c>
      <c r="I78" s="197">
        <v>0.24</v>
      </c>
      <c r="J78" s="197">
        <v>0.24</v>
      </c>
      <c r="K78" s="197">
        <v>0.24</v>
      </c>
      <c r="L78" s="197">
        <v>0.24</v>
      </c>
      <c r="M78" s="197">
        <v>0.24</v>
      </c>
      <c r="N78" s="197">
        <v>0.24</v>
      </c>
      <c r="O78" s="197">
        <v>0.24</v>
      </c>
      <c r="P78" s="197">
        <v>0.24</v>
      </c>
      <c r="Q78" s="197">
        <v>0.24</v>
      </c>
    </row>
    <row r="79" spans="1:17" outlineLevel="1" x14ac:dyDescent="0.35">
      <c r="C79" s="216"/>
      <c r="D79" s="210"/>
      <c r="E79" s="206"/>
      <c r="F79" s="206"/>
      <c r="G79" s="206"/>
      <c r="H79" s="206"/>
      <c r="I79" s="206"/>
      <c r="J79" s="206"/>
      <c r="K79" s="206"/>
      <c r="L79" s="206"/>
    </row>
    <row r="80" spans="1:17" outlineLevel="1" x14ac:dyDescent="0.35">
      <c r="C80" s="216" t="s">
        <v>178</v>
      </c>
      <c r="D80" s="210" t="s">
        <v>165</v>
      </c>
      <c r="E80" s="205">
        <v>297</v>
      </c>
      <c r="F80" s="205">
        <v>303</v>
      </c>
      <c r="G80" s="205">
        <v>148</v>
      </c>
      <c r="H80" s="206">
        <f>H81*H63</f>
        <v>238.18130831775946</v>
      </c>
      <c r="I80" s="206">
        <f t="shared" ref="I80:Q80" si="30">I81*I63</f>
        <v>241.75402794252582</v>
      </c>
      <c r="J80" s="206">
        <f t="shared" si="30"/>
        <v>244.89683030577862</v>
      </c>
      <c r="K80" s="206">
        <f t="shared" si="30"/>
        <v>246.84008665425495</v>
      </c>
      <c r="L80" s="206">
        <f t="shared" si="30"/>
        <v>248.06194508319348</v>
      </c>
      <c r="M80" s="206">
        <f t="shared" si="30"/>
        <v>249.28985171135528</v>
      </c>
      <c r="N80" s="206">
        <f t="shared" si="30"/>
        <v>250.52383647732651</v>
      </c>
      <c r="O80" s="206">
        <f t="shared" si="30"/>
        <v>251.76392946788923</v>
      </c>
      <c r="P80" s="206">
        <f t="shared" si="30"/>
        <v>252.50915069911423</v>
      </c>
      <c r="Q80" s="206">
        <f t="shared" si="30"/>
        <v>253.25657778518362</v>
      </c>
    </row>
    <row r="81" spans="3:17" outlineLevel="1" x14ac:dyDescent="0.35">
      <c r="C81" s="219" t="s">
        <v>175</v>
      </c>
      <c r="D81" s="195" t="s">
        <v>155</v>
      </c>
      <c r="E81" s="220">
        <f>E80/E63</f>
        <v>6.4149639293274007E-3</v>
      </c>
      <c r="F81" s="220">
        <f t="shared" ref="F81:G81" si="31">F80/F63</f>
        <v>6.9732118199392432E-3</v>
      </c>
      <c r="G81" s="220">
        <f t="shared" si="31"/>
        <v>3.5638605278366401E-3</v>
      </c>
      <c r="H81" s="221">
        <f>AVERAGE(E81:G81)</f>
        <v>5.6506787590344283E-3</v>
      </c>
      <c r="I81" s="221">
        <f>H81</f>
        <v>5.6506787590344283E-3</v>
      </c>
      <c r="J81" s="221">
        <f t="shared" ref="J81:Q81" si="32">I81</f>
        <v>5.6506787590344283E-3</v>
      </c>
      <c r="K81" s="221">
        <f t="shared" si="32"/>
        <v>5.6506787590344283E-3</v>
      </c>
      <c r="L81" s="221">
        <f t="shared" si="32"/>
        <v>5.6506787590344283E-3</v>
      </c>
      <c r="M81" s="221">
        <f t="shared" si="32"/>
        <v>5.6506787590344283E-3</v>
      </c>
      <c r="N81" s="221">
        <f t="shared" si="32"/>
        <v>5.6506787590344283E-3</v>
      </c>
      <c r="O81" s="221">
        <f t="shared" si="32"/>
        <v>5.6506787590344283E-3</v>
      </c>
      <c r="P81" s="221">
        <f t="shared" si="32"/>
        <v>5.6506787590344283E-3</v>
      </c>
      <c r="Q81" s="221">
        <f t="shared" si="32"/>
        <v>5.6506787590344283E-3</v>
      </c>
    </row>
    <row r="82" spans="3:17" outlineLevel="1" x14ac:dyDescent="0.35">
      <c r="C82" s="216"/>
      <c r="D82" s="210"/>
      <c r="E82" s="218"/>
      <c r="F82" s="218"/>
      <c r="G82" s="218"/>
      <c r="H82" s="218"/>
      <c r="I82" s="218"/>
      <c r="J82" s="218"/>
      <c r="K82" s="218"/>
      <c r="L82" s="218"/>
    </row>
    <row r="83" spans="3:17" outlineLevel="1" x14ac:dyDescent="0.35">
      <c r="C83" s="213" t="s">
        <v>179</v>
      </c>
      <c r="D83" s="210" t="s">
        <v>165</v>
      </c>
      <c r="E83" s="205">
        <v>-861</v>
      </c>
      <c r="F83" s="205">
        <v>-783</v>
      </c>
      <c r="G83" s="205">
        <v>-259</v>
      </c>
      <c r="H83" s="222">
        <f>H84*(H63-G63)</f>
        <v>37.375199999999893</v>
      </c>
      <c r="I83" s="222">
        <f t="shared" ref="H83:Q83" si="33">I84*(I63-H63)</f>
        <v>34.774508999999632</v>
      </c>
      <c r="J83" s="222">
        <f t="shared" si="33"/>
        <v>27.80906946999967</v>
      </c>
      <c r="K83" s="222">
        <f t="shared" si="33"/>
        <v>15.475403825004832</v>
      </c>
      <c r="L83" s="222">
        <f t="shared" si="33"/>
        <v>9.7304468448724943</v>
      </c>
      <c r="M83" s="222">
        <f t="shared" si="33"/>
        <v>9.7786125567545596</v>
      </c>
      <c r="N83" s="222">
        <f t="shared" si="33"/>
        <v>9.8270166889108435</v>
      </c>
      <c r="O83" s="222">
        <f t="shared" si="33"/>
        <v>9.8756604215205144</v>
      </c>
      <c r="P83" s="222">
        <f t="shared" si="33"/>
        <v>5.9346773786260378</v>
      </c>
      <c r="Q83" s="222">
        <f t="shared" si="33"/>
        <v>5.9522440236666805</v>
      </c>
    </row>
    <row r="84" spans="3:17" outlineLevel="1" x14ac:dyDescent="0.35">
      <c r="C84" s="216" t="s">
        <v>180</v>
      </c>
      <c r="D84" s="195" t="s">
        <v>155</v>
      </c>
      <c r="E84" s="220" t="str">
        <f>IFERROR(E83/(E63-D63),"N/A")</f>
        <v>N/A</v>
      </c>
      <c r="F84" s="220">
        <f>IFERROR(F83/(F63-E63),"N/A")</f>
        <v>0.27512297962052001</v>
      </c>
      <c r="G84" s="220">
        <f>IFERROR(G83/(G63-F63),"N/A")</f>
        <v>0.13461538461538461</v>
      </c>
      <c r="H84" s="197">
        <v>0.06</v>
      </c>
      <c r="I84" s="197">
        <v>5.5E-2</v>
      </c>
      <c r="J84" s="197">
        <v>0.05</v>
      </c>
      <c r="K84" s="197">
        <v>4.4999999999999998E-2</v>
      </c>
      <c r="L84" s="197">
        <v>4.4999999999999998E-2</v>
      </c>
      <c r="M84" s="197">
        <v>4.4999999999999998E-2</v>
      </c>
      <c r="N84" s="197">
        <v>4.4999999999999998E-2</v>
      </c>
      <c r="O84" s="197">
        <v>4.4999999999999998E-2</v>
      </c>
      <c r="P84" s="197">
        <v>4.4999999999999998E-2</v>
      </c>
      <c r="Q84" s="197">
        <v>4.4999999999999998E-2</v>
      </c>
    </row>
    <row r="85" spans="3:17" outlineLevel="1" x14ac:dyDescent="0.35">
      <c r="C85" s="213"/>
      <c r="F85" s="116"/>
    </row>
    <row r="86" spans="3:17" outlineLevel="1" x14ac:dyDescent="0.35">
      <c r="C86" s="213" t="s">
        <v>181</v>
      </c>
      <c r="D86" s="210" t="s">
        <v>165</v>
      </c>
      <c r="E86" s="205">
        <v>-930</v>
      </c>
      <c r="F86" s="205">
        <v>-795</v>
      </c>
      <c r="G86" s="205">
        <v>-706</v>
      </c>
      <c r="H86" s="206">
        <f>-H49*G40-H55*(H40-G40)</f>
        <v>-720.11999999999989</v>
      </c>
      <c r="I86" s="206">
        <f t="shared" ref="I86:Q86" si="34">-I49*H40-I55*(I40-H40)</f>
        <v>-734.52239999999995</v>
      </c>
      <c r="J86" s="206">
        <f t="shared" si="34"/>
        <v>-749.21284800000001</v>
      </c>
      <c r="K86" s="206">
        <f t="shared" si="34"/>
        <v>-731.45861946374976</v>
      </c>
      <c r="L86" s="206">
        <f t="shared" si="34"/>
        <v>-738.3925983312397</v>
      </c>
      <c r="M86" s="206">
        <f t="shared" si="34"/>
        <v>-745.5550337842725</v>
      </c>
      <c r="N86" s="206">
        <f>-N49*M40-N55*(N40-M40)</f>
        <v>-752.78608135400339</v>
      </c>
      <c r="O86" s="206">
        <f t="shared" si="34"/>
        <v>-760.25748321144192</v>
      </c>
      <c r="P86" s="206">
        <f t="shared" si="34"/>
        <v>-763.84796153088143</v>
      </c>
      <c r="Q86" s="206">
        <f t="shared" si="34"/>
        <v>-767.62900894045924</v>
      </c>
    </row>
    <row r="87" spans="3:17" outlineLevel="1" x14ac:dyDescent="0.35">
      <c r="C87" s="223" t="s">
        <v>175</v>
      </c>
      <c r="D87" s="210" t="s">
        <v>155</v>
      </c>
      <c r="E87" s="212">
        <f t="shared" ref="E87:Q87" si="35">-E86/E63</f>
        <v>2.0087260788802973E-2</v>
      </c>
      <c r="F87" s="212">
        <f t="shared" si="35"/>
        <v>1.8296050814692075E-2</v>
      </c>
      <c r="G87" s="212">
        <f t="shared" si="35"/>
        <v>1.700057792332884E-2</v>
      </c>
      <c r="H87" s="212">
        <f>-H86/H63</f>
        <v>1.7084324612606318E-2</v>
      </c>
      <c r="I87" s="212">
        <f t="shared" si="35"/>
        <v>1.7168483847151181E-2</v>
      </c>
      <c r="J87" s="212">
        <f t="shared" si="35"/>
        <v>1.7287120951721826E-2</v>
      </c>
      <c r="K87" s="212">
        <f t="shared" si="35"/>
        <v>1.6744596633956863E-2</v>
      </c>
      <c r="L87" s="212">
        <f t="shared" si="35"/>
        <v>1.682007036516325E-2</v>
      </c>
      <c r="M87" s="212">
        <f t="shared" si="35"/>
        <v>1.6899572783147052E-2</v>
      </c>
      <c r="N87" s="212">
        <f t="shared" si="35"/>
        <v>1.6979431497684307E-2</v>
      </c>
      <c r="O87" s="212">
        <f t="shared" si="35"/>
        <v>1.7063488089257003E-2</v>
      </c>
      <c r="P87" s="212">
        <f t="shared" si="35"/>
        <v>1.7093477362717373E-2</v>
      </c>
      <c r="Q87" s="212">
        <f t="shared" si="35"/>
        <v>1.7127392992405302E-2</v>
      </c>
    </row>
    <row r="88" spans="3:17" outlineLevel="1" x14ac:dyDescent="0.35">
      <c r="C88" s="213"/>
      <c r="F88" s="116"/>
    </row>
    <row r="89" spans="3:17" outlineLevel="1" x14ac:dyDescent="0.35">
      <c r="C89" s="224" t="s">
        <v>182</v>
      </c>
      <c r="D89" s="225" t="s">
        <v>165</v>
      </c>
      <c r="E89" s="226">
        <f>+E71+E74+E77+E80+E83+E86</f>
        <v>1042.5722818791951</v>
      </c>
      <c r="F89" s="226">
        <f>+F71+F74+F77+F80+F83+F86</f>
        <v>1097.5719925971621</v>
      </c>
      <c r="G89" s="226">
        <f>+G71+G74+G77+G80+G83+G86</f>
        <v>1523.4623783783786</v>
      </c>
      <c r="H89" s="226">
        <f>H71+H74+H77+H80+H83+H86</f>
        <v>1913.5389123177615</v>
      </c>
      <c r="I89" s="226">
        <f t="shared" ref="I89:Q89" si="36">I71+I74+I77+I80+I83+I86</f>
        <v>1935.4800770025286</v>
      </c>
      <c r="J89" s="226">
        <f t="shared" si="36"/>
        <v>1948.0821530565554</v>
      </c>
      <c r="K89" s="226">
        <f t="shared" si="36"/>
        <v>1974.6850868149465</v>
      </c>
      <c r="L89" s="226">
        <f t="shared" si="36"/>
        <v>1975.3249590644677</v>
      </c>
      <c r="M89" s="226">
        <f t="shared" si="36"/>
        <v>1981.5954255205343</v>
      </c>
      <c r="N89" s="226">
        <f t="shared" si="36"/>
        <v>1987.8637727243686</v>
      </c>
      <c r="O89" s="226">
        <f t="shared" si="36"/>
        <v>1993.9585876446049</v>
      </c>
      <c r="P89" s="226">
        <f t="shared" si="36"/>
        <v>1994.5503738971611</v>
      </c>
      <c r="Q89" s="226">
        <f t="shared" si="36"/>
        <v>1998.934185560453</v>
      </c>
    </row>
    <row r="90" spans="3:17" outlineLevel="1" x14ac:dyDescent="0.35">
      <c r="C90" s="227" t="s">
        <v>154</v>
      </c>
      <c r="D90" s="68" t="s">
        <v>155</v>
      </c>
      <c r="E90" s="164" t="str">
        <f>IFERROR(+E89/#REF!-1,"N/A")</f>
        <v>N/A</v>
      </c>
      <c r="F90" s="164">
        <f t="shared" ref="F90:Q90" si="37">IFERROR(+F89/E89-1,"N/A")</f>
        <v>5.2753858580272484E-2</v>
      </c>
      <c r="G90" s="164">
        <f t="shared" si="37"/>
        <v>0.38802956767641361</v>
      </c>
      <c r="H90" s="164">
        <f t="shared" si="37"/>
        <v>0.25604605632243627</v>
      </c>
      <c r="I90" s="164">
        <f t="shared" si="37"/>
        <v>1.1466275675675153E-2</v>
      </c>
      <c r="J90" s="164">
        <f t="shared" si="37"/>
        <v>6.5110853910435029E-3</v>
      </c>
      <c r="K90" s="164">
        <f t="shared" si="37"/>
        <v>1.3655960923747879E-2</v>
      </c>
      <c r="L90" s="164">
        <f t="shared" si="37"/>
        <v>3.2403761682986421E-4</v>
      </c>
      <c r="M90" s="164">
        <f t="shared" si="37"/>
        <v>3.1743974211899673E-3</v>
      </c>
      <c r="N90" s="164">
        <f t="shared" si="37"/>
        <v>3.1632830410817103E-3</v>
      </c>
      <c r="O90" s="164">
        <f t="shared" si="37"/>
        <v>3.0660123716039767E-3</v>
      </c>
      <c r="P90" s="164">
        <f t="shared" si="37"/>
        <v>2.9678964057877621E-4</v>
      </c>
      <c r="Q90" s="164">
        <f t="shared" si="37"/>
        <v>2.1978946837659663E-3</v>
      </c>
    </row>
    <row r="91" spans="3:17" outlineLevel="1" x14ac:dyDescent="0.35">
      <c r="C91" s="227"/>
      <c r="D91" s="68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</row>
    <row r="92" spans="3:17" outlineLevel="1" x14ac:dyDescent="0.35">
      <c r="C92" s="228" t="s">
        <v>183</v>
      </c>
      <c r="D92" s="68" t="s">
        <v>184</v>
      </c>
      <c r="E92" s="164"/>
      <c r="F92" s="164"/>
      <c r="G92" s="164"/>
      <c r="H92" s="229">
        <v>1</v>
      </c>
      <c r="I92" s="230">
        <f>H92+1</f>
        <v>2</v>
      </c>
      <c r="J92" s="231">
        <f t="shared" ref="J92:Q92" si="38">I92+1</f>
        <v>3</v>
      </c>
      <c r="K92" s="231">
        <f t="shared" si="38"/>
        <v>4</v>
      </c>
      <c r="L92" s="231">
        <f t="shared" si="38"/>
        <v>5</v>
      </c>
      <c r="M92" s="231">
        <f t="shared" si="38"/>
        <v>6</v>
      </c>
      <c r="N92" s="231">
        <f t="shared" si="38"/>
        <v>7</v>
      </c>
      <c r="O92" s="231">
        <f t="shared" si="38"/>
        <v>8</v>
      </c>
      <c r="P92" s="231">
        <f t="shared" si="38"/>
        <v>9</v>
      </c>
      <c r="Q92" s="231">
        <f t="shared" si="38"/>
        <v>10</v>
      </c>
    </row>
    <row r="93" spans="3:17" outlineLevel="1" x14ac:dyDescent="0.35">
      <c r="C93" s="2" t="s">
        <v>185</v>
      </c>
      <c r="D93" s="210" t="s">
        <v>165</v>
      </c>
      <c r="F93" s="116"/>
      <c r="H93" s="232">
        <f>H89/((1+Discount_Rate)^H92)</f>
        <v>1776.7095329928859</v>
      </c>
      <c r="I93" s="232">
        <f t="shared" ref="I93:Q93" si="39">I89/((1+Discount_Rate)^I92)</f>
        <v>1668.5797709167894</v>
      </c>
      <c r="J93" s="232">
        <f t="shared" si="39"/>
        <v>1559.3538287574963</v>
      </c>
      <c r="K93" s="232">
        <f t="shared" si="39"/>
        <v>1467.6225769079126</v>
      </c>
      <c r="L93" s="232">
        <f t="shared" si="39"/>
        <v>1363.1204190142978</v>
      </c>
      <c r="M93" s="232">
        <f t="shared" si="39"/>
        <v>1269.6668995259615</v>
      </c>
      <c r="N93" s="232">
        <f t="shared" si="39"/>
        <v>1182.6073125893772</v>
      </c>
      <c r="O93" s="232">
        <f t="shared" si="39"/>
        <v>1101.410493107717</v>
      </c>
      <c r="P93" s="232">
        <f t="shared" si="39"/>
        <v>1022.956624445998</v>
      </c>
      <c r="Q93" s="232">
        <f t="shared" si="39"/>
        <v>951.89674027059618</v>
      </c>
    </row>
    <row r="94" spans="3:17" outlineLevel="1" x14ac:dyDescent="0.35">
      <c r="C94" s="2"/>
      <c r="F94" s="116"/>
    </row>
    <row r="95" spans="3:17" outlineLevel="1" x14ac:dyDescent="0.35">
      <c r="C95" s="233" t="s">
        <v>186</v>
      </c>
      <c r="D95" s="234" t="s">
        <v>165</v>
      </c>
      <c r="E95" s="235">
        <f t="shared" ref="E95:Q95" si="40">+E66+E74</f>
        <v>2860</v>
      </c>
      <c r="F95" s="235">
        <f t="shared" si="40"/>
        <v>2650</v>
      </c>
      <c r="G95" s="235">
        <f t="shared" si="40"/>
        <v>2600</v>
      </c>
      <c r="H95" s="235">
        <f t="shared" si="40"/>
        <v>2639.0000000000018</v>
      </c>
      <c r="I95" s="235">
        <f t="shared" si="40"/>
        <v>2678.5850000000032</v>
      </c>
      <c r="J95" s="235">
        <f t="shared" si="40"/>
        <v>2713.4066049999969</v>
      </c>
      <c r="K95" s="235">
        <f t="shared" si="40"/>
        <v>2734.937486410668</v>
      </c>
      <c r="L95" s="235">
        <f t="shared" si="40"/>
        <v>2748.4754269683972</v>
      </c>
      <c r="M95" s="235">
        <f t="shared" si="40"/>
        <v>2762.0803803318795</v>
      </c>
      <c r="N95" s="235">
        <f t="shared" si="40"/>
        <v>2775.7526782145296</v>
      </c>
      <c r="O95" s="235">
        <f t="shared" si="40"/>
        <v>2789.4926539716771</v>
      </c>
      <c r="P95" s="235">
        <f t="shared" si="40"/>
        <v>2797.7495522274376</v>
      </c>
      <c r="Q95" s="235">
        <f t="shared" si="40"/>
        <v>2806.0308909020341</v>
      </c>
    </row>
    <row r="96" spans="3:17" outlineLevel="1" x14ac:dyDescent="0.35">
      <c r="C96" s="227" t="s">
        <v>154</v>
      </c>
      <c r="D96" s="68" t="s">
        <v>155</v>
      </c>
      <c r="E96" s="164" t="str">
        <f>IFERROR(+E95/#REF!-1,"N/A")</f>
        <v>N/A</v>
      </c>
      <c r="F96" s="164">
        <f t="shared" ref="F96:Q96" si="41">IFERROR(+F95/E95-1,"N/A")</f>
        <v>-7.3426573426573438E-2</v>
      </c>
      <c r="G96" s="164">
        <f t="shared" si="41"/>
        <v>-1.8867924528301883E-2</v>
      </c>
      <c r="H96" s="164">
        <f t="shared" si="41"/>
        <v>1.500000000000079E-2</v>
      </c>
      <c r="I96" s="164">
        <f t="shared" si="41"/>
        <v>1.5000000000000568E-2</v>
      </c>
      <c r="J96" s="164">
        <f t="shared" si="41"/>
        <v>1.299999999999768E-2</v>
      </c>
      <c r="K96" s="164">
        <f t="shared" si="41"/>
        <v>7.9349999999984711E-3</v>
      </c>
      <c r="L96" s="164">
        <f t="shared" si="41"/>
        <v>4.9499999999986777E-3</v>
      </c>
      <c r="M96" s="164">
        <f t="shared" si="41"/>
        <v>4.9499999999960131E-3</v>
      </c>
      <c r="N96" s="164">
        <f t="shared" si="41"/>
        <v>4.9500000000026745E-3</v>
      </c>
      <c r="O96" s="164">
        <f t="shared" si="41"/>
        <v>4.9499999999949029E-3</v>
      </c>
      <c r="P96" s="164">
        <f t="shared" si="41"/>
        <v>2.960000000001628E-3</v>
      </c>
      <c r="Q96" s="164">
        <f t="shared" si="41"/>
        <v>2.9600000000011839E-3</v>
      </c>
    </row>
    <row r="98" spans="2:18" x14ac:dyDescent="0.35">
      <c r="B98" s="186" t="s">
        <v>187</v>
      </c>
      <c r="C98" s="186"/>
      <c r="D98" s="236"/>
      <c r="E98" s="237"/>
      <c r="F98" s="237"/>
      <c r="G98" s="238"/>
      <c r="H98" s="238"/>
      <c r="I98" s="238"/>
      <c r="J98" s="238"/>
      <c r="K98" s="238"/>
      <c r="L98" s="238"/>
      <c r="M98" s="238"/>
      <c r="N98" s="238"/>
      <c r="O98" s="238"/>
      <c r="P98" s="238"/>
      <c r="Q98" s="238"/>
      <c r="R98" s="238"/>
    </row>
    <row r="99" spans="2:18" outlineLevel="1" x14ac:dyDescent="0.35"/>
    <row r="100" spans="2:18" outlineLevel="1" x14ac:dyDescent="0.35">
      <c r="C100" s="239" t="s">
        <v>188</v>
      </c>
      <c r="F100" s="116"/>
    </row>
    <row r="101" spans="2:18" outlineLevel="1" x14ac:dyDescent="0.35">
      <c r="C101" s="117"/>
      <c r="F101" s="116"/>
    </row>
    <row r="102" spans="2:18" outlineLevel="1" x14ac:dyDescent="0.35">
      <c r="C102" s="240"/>
      <c r="D102" s="241"/>
      <c r="E102" s="242" t="s">
        <v>189</v>
      </c>
      <c r="F102" s="242"/>
      <c r="G102" s="242"/>
      <c r="H102" s="242"/>
      <c r="I102" s="242"/>
      <c r="J102" s="242"/>
      <c r="K102" s="242"/>
      <c r="L102" s="242"/>
      <c r="M102" s="243"/>
      <c r="N102" s="243"/>
      <c r="O102" s="243"/>
    </row>
    <row r="103" spans="2:18" outlineLevel="1" x14ac:dyDescent="0.35">
      <c r="C103" s="244"/>
      <c r="D103" s="245">
        <f>$N$34</f>
        <v>110.83204677693041</v>
      </c>
      <c r="E103" s="246">
        <v>-1.2500000000000001E-2</v>
      </c>
      <c r="F103" s="246">
        <f>+E103+0.25%</f>
        <v>-0.01</v>
      </c>
      <c r="G103" s="246">
        <f t="shared" ref="G103:O103" si="42">+F103+0.25%</f>
        <v>-7.4999999999999997E-3</v>
      </c>
      <c r="H103" s="246">
        <f t="shared" si="42"/>
        <v>-4.9999999999999992E-3</v>
      </c>
      <c r="I103" s="246">
        <f t="shared" si="42"/>
        <v>-2.4999999999999992E-3</v>
      </c>
      <c r="J103" s="246">
        <f t="shared" si="42"/>
        <v>0</v>
      </c>
      <c r="K103" s="246">
        <f t="shared" si="42"/>
        <v>2.5000000000000001E-3</v>
      </c>
      <c r="L103" s="246">
        <f t="shared" si="42"/>
        <v>5.0000000000000001E-3</v>
      </c>
      <c r="M103" s="247">
        <f t="shared" si="42"/>
        <v>7.4999999999999997E-3</v>
      </c>
      <c r="N103" s="248">
        <f t="shared" si="42"/>
        <v>0.01</v>
      </c>
      <c r="O103" s="249">
        <f t="shared" si="42"/>
        <v>1.2500000000000001E-2</v>
      </c>
    </row>
    <row r="104" spans="2:18" outlineLevel="1" x14ac:dyDescent="0.35">
      <c r="C104" s="326" t="s">
        <v>122</v>
      </c>
      <c r="D104" s="246">
        <v>8.6999999999999994E-2</v>
      </c>
      <c r="E104" s="250">
        <f t="dataTable" ref="E104:O112" dt2D="1" dtr="1" r1="N11" r2="D12" ca="1"/>
        <v>86.589302904891852</v>
      </c>
      <c r="F104" s="251">
        <v>87.715509479480446</v>
      </c>
      <c r="G104" s="251">
        <v>88.901303703518153</v>
      </c>
      <c r="H104" s="251">
        <v>90.151543265818788</v>
      </c>
      <c r="I104" s="252">
        <v>91.471628613722828</v>
      </c>
      <c r="J104" s="253">
        <v>92.867580935644312</v>
      </c>
      <c r="K104" s="251">
        <v>94.346133986673593</v>
      </c>
      <c r="L104" s="251">
        <v>95.914842711546115</v>
      </c>
      <c r="M104" s="254">
        <v>97.582212362511271</v>
      </c>
      <c r="N104" s="254">
        <v>99.357852770032565</v>
      </c>
      <c r="O104" s="254">
        <v>101.25266367470296</v>
      </c>
      <c r="Q104" s="255"/>
    </row>
    <row r="105" spans="2:18" outlineLevel="1" x14ac:dyDescent="0.35">
      <c r="C105" s="327"/>
      <c r="D105" s="246">
        <f>+D104-0.25%</f>
        <v>8.4499999999999992E-2</v>
      </c>
      <c r="E105" s="256">
        <v>89.224334090432265</v>
      </c>
      <c r="F105" s="257">
        <v>90.434957925626705</v>
      </c>
      <c r="G105" s="257">
        <v>91.711376534473004</v>
      </c>
      <c r="H105" s="257">
        <v>93.059103445489498</v>
      </c>
      <c r="I105" s="258">
        <v>94.484285926104647</v>
      </c>
      <c r="J105" s="259">
        <v>95.99379873101654</v>
      </c>
      <c r="K105" s="257">
        <v>97.595354999642566</v>
      </c>
      <c r="L105" s="257">
        <v>99.297638077616156</v>
      </c>
      <c r="M105" s="258">
        <v>101.11045901779585</v>
      </c>
      <c r="N105" s="258">
        <v>103.04494579288688</v>
      </c>
      <c r="O105" s="258">
        <v>105.11377192735924</v>
      </c>
    </row>
    <row r="106" spans="2:18" outlineLevel="1" x14ac:dyDescent="0.35">
      <c r="C106" s="327"/>
      <c r="D106" s="246">
        <f t="shared" ref="D106:D112" si="43">+D105-0.25%</f>
        <v>8.199999999999999E-2</v>
      </c>
      <c r="E106" s="256">
        <v>92.0002754622531</v>
      </c>
      <c r="F106" s="257">
        <v>93.303483612386572</v>
      </c>
      <c r="G106" s="257">
        <v>94.679496687108511</v>
      </c>
      <c r="H106" s="257">
        <v>96.134590973021389</v>
      </c>
      <c r="I106" s="258">
        <v>97.675785512538553</v>
      </c>
      <c r="J106" s="259">
        <v>99.310955328855542</v>
      </c>
      <c r="K106" s="257">
        <v>101.04896601412331</v>
      </c>
      <c r="L106" s="257">
        <v>102.89983453609675</v>
      </c>
      <c r="M106" s="258">
        <v>104.87492242196105</v>
      </c>
      <c r="N106" s="258">
        <v>106.98716918878813</v>
      </c>
      <c r="O106" s="258">
        <v>109.25137615466751</v>
      </c>
    </row>
    <row r="107" spans="2:18" outlineLevel="1" x14ac:dyDescent="0.35">
      <c r="C107" s="327"/>
      <c r="D107" s="246">
        <f t="shared" si="43"/>
        <v>7.9499999999999987E-2</v>
      </c>
      <c r="E107" s="256">
        <v>94.928644537438288</v>
      </c>
      <c r="F107" s="257">
        <v>96.333604950326162</v>
      </c>
      <c r="G107" s="257">
        <v>97.819310214529423</v>
      </c>
      <c r="H107" s="257">
        <v>99.392927032827572</v>
      </c>
      <c r="I107" s="258">
        <v>101.06249609614389</v>
      </c>
      <c r="J107" s="259">
        <v>102.83706950306501</v>
      </c>
      <c r="K107" s="257">
        <v>104.7268749493966</v>
      </c>
      <c r="L107" s="257">
        <v>106.74351297601889</v>
      </c>
      <c r="M107" s="258">
        <v>108.90019531004553</v>
      </c>
      <c r="N107" s="258">
        <v>111.2120346465201</v>
      </c>
      <c r="O107" s="258">
        <v>113.69639930661219</v>
      </c>
    </row>
    <row r="108" spans="2:18" outlineLevel="1" x14ac:dyDescent="0.35">
      <c r="C108" s="327"/>
      <c r="D108" s="246">
        <f>+D107-0.25%</f>
        <v>7.6999999999999985E-2</v>
      </c>
      <c r="E108" s="260">
        <v>98.022246436073047</v>
      </c>
      <c r="F108" s="259">
        <v>99.539279870700639</v>
      </c>
      <c r="G108" s="259">
        <v>101.14607859731802</v>
      </c>
      <c r="H108" s="259">
        <v>102.85085285604622</v>
      </c>
      <c r="I108" s="261">
        <v>104.66284562161265</v>
      </c>
      <c r="J108" s="259">
        <v>106.59250025507302</v>
      </c>
      <c r="K108" s="259">
        <v>108.65166191091329</v>
      </c>
      <c r="L108" s="259">
        <v>110.85382090396469</v>
      </c>
      <c r="M108" s="261">
        <v>113.21440860155215</v>
      </c>
      <c r="N108" s="261">
        <v>115.75115956015361</v>
      </c>
      <c r="O108" s="261">
        <v>118.48455787988695</v>
      </c>
    </row>
    <row r="109" spans="2:18" outlineLevel="1" x14ac:dyDescent="0.35">
      <c r="C109" s="327"/>
      <c r="D109" s="246">
        <f t="shared" si="43"/>
        <v>7.4499999999999983E-2</v>
      </c>
      <c r="E109" s="256">
        <v>101.29535890171481</v>
      </c>
      <c r="F109" s="257">
        <v>102.93611878939527</v>
      </c>
      <c r="G109" s="257">
        <v>104.67692501169041</v>
      </c>
      <c r="H109" s="257">
        <v>106.52721590205441</v>
      </c>
      <c r="I109" s="258">
        <v>108.49765555153296</v>
      </c>
      <c r="J109" s="259">
        <v>110.60033947278862</v>
      </c>
      <c r="K109" s="257">
        <v>112.84904311079812</v>
      </c>
      <c r="L109" s="257">
        <v>115.25952398895218</v>
      </c>
      <c r="M109" s="258">
        <v>117.84989149980434</v>
      </c>
      <c r="N109" s="258">
        <v>120.64106269366826</v>
      </c>
      <c r="O109" s="258">
        <v>123.65732833865026</v>
      </c>
    </row>
    <row r="110" spans="2:18" outlineLevel="1" x14ac:dyDescent="0.35">
      <c r="C110" s="327"/>
      <c r="D110" s="262">
        <f t="shared" si="43"/>
        <v>7.1999999999999981E-2</v>
      </c>
      <c r="E110" s="256">
        <v>104.76395016634476</v>
      </c>
      <c r="F110" s="257">
        <v>106.54163652820489</v>
      </c>
      <c r="G110" s="257">
        <v>108.43112706376688</v>
      </c>
      <c r="H110" s="257">
        <v>110.44331178994982</v>
      </c>
      <c r="I110" s="258">
        <v>112.59054247091011</v>
      </c>
      <c r="J110" s="259">
        <v>114.88688639360376</v>
      </c>
      <c r="K110" s="257">
        <v>117.34843491505234</v>
      </c>
      <c r="L110" s="257">
        <v>119.99368108735531</v>
      </c>
      <c r="M110" s="258">
        <v>122.84398510247246</v>
      </c>
      <c r="N110" s="258">
        <v>125.92415234461517</v>
      </c>
      <c r="O110" s="258">
        <v>129.26315717013122</v>
      </c>
    </row>
    <row r="111" spans="2:18" outlineLevel="1" x14ac:dyDescent="0.35">
      <c r="C111" s="327"/>
      <c r="D111" s="262">
        <f t="shared" si="43"/>
        <v>6.9499999999999978E-2</v>
      </c>
      <c r="E111" s="256">
        <v>108.44593666931949</v>
      </c>
      <c r="F111" s="257">
        <v>110.37555176898957</v>
      </c>
      <c r="G111" s="257">
        <v>112.43046655045636</v>
      </c>
      <c r="H111" s="257">
        <v>114.62329507564579</v>
      </c>
      <c r="I111" s="258">
        <v>116.96840335952892</v>
      </c>
      <c r="J111" s="259">
        <v>119.48222446959068</v>
      </c>
      <c r="K111" s="257">
        <v>122.18364416995556</v>
      </c>
      <c r="L111" s="257">
        <v>125.09447625019369</v>
      </c>
      <c r="M111" s="258">
        <v>128.2400528530317</v>
      </c>
      <c r="N111" s="258">
        <v>131.6499636241754</v>
      </c>
      <c r="O111" s="258">
        <v>135.35898937524397</v>
      </c>
    </row>
    <row r="112" spans="2:18" outlineLevel="1" x14ac:dyDescent="0.35">
      <c r="C112" s="328"/>
      <c r="D112" s="263">
        <f t="shared" si="43"/>
        <v>6.6999999999999976E-2</v>
      </c>
      <c r="E112" s="256">
        <v>112.36148940323109</v>
      </c>
      <c r="F112" s="257">
        <v>114.46014484364588</v>
      </c>
      <c r="G112" s="257">
        <v>116.69964964247771</v>
      </c>
      <c r="H112" s="257">
        <v>119.09467560789513</v>
      </c>
      <c r="I112" s="258">
        <v>121.66200559960156</v>
      </c>
      <c r="J112" s="259">
        <v>124.42092738173382</v>
      </c>
      <c r="K112" s="257">
        <v>127.39371906945775</v>
      </c>
      <c r="L112" s="257">
        <v>130.60625202232066</v>
      </c>
      <c r="M112" s="258">
        <v>134.08874572752509</v>
      </c>
      <c r="N112" s="258">
        <v>137.87672133669474</v>
      </c>
      <c r="O112" s="258">
        <v>142.01221764395339</v>
      </c>
    </row>
    <row r="113" spans="3:15" outlineLevel="1" x14ac:dyDescent="0.35">
      <c r="C113" s="117"/>
      <c r="F113" s="116"/>
    </row>
    <row r="114" spans="3:15" outlineLevel="1" x14ac:dyDescent="0.35">
      <c r="C114" s="239" t="s">
        <v>190</v>
      </c>
      <c r="F114" s="116"/>
    </row>
    <row r="115" spans="3:15" outlineLevel="1" x14ac:dyDescent="0.35">
      <c r="C115" s="117"/>
      <c r="F115" s="116"/>
    </row>
    <row r="116" spans="3:15" outlineLevel="1" x14ac:dyDescent="0.35">
      <c r="C116" s="240"/>
      <c r="D116" s="241"/>
      <c r="E116" s="242" t="s">
        <v>191</v>
      </c>
      <c r="F116" s="242"/>
      <c r="G116" s="242"/>
      <c r="H116" s="242"/>
      <c r="I116" s="242"/>
      <c r="J116" s="242"/>
      <c r="K116" s="242"/>
      <c r="L116" s="242"/>
      <c r="M116" s="243"/>
      <c r="N116" s="243"/>
      <c r="O116" s="243"/>
    </row>
    <row r="117" spans="3:15" outlineLevel="1" x14ac:dyDescent="0.35">
      <c r="C117" s="244"/>
      <c r="D117" s="245">
        <f>$I$34</f>
        <v>95.796352985467081</v>
      </c>
      <c r="E117" s="264">
        <v>6.9</v>
      </c>
      <c r="F117" s="264">
        <f>E117+0.8</f>
        <v>7.7</v>
      </c>
      <c r="G117" s="264">
        <f t="shared" ref="G117:O117" si="44">F117+0.8</f>
        <v>8.5</v>
      </c>
      <c r="H117" s="264">
        <f t="shared" si="44"/>
        <v>9.3000000000000007</v>
      </c>
      <c r="I117" s="264">
        <f t="shared" si="44"/>
        <v>10.100000000000001</v>
      </c>
      <c r="J117" s="264">
        <f t="shared" si="44"/>
        <v>10.900000000000002</v>
      </c>
      <c r="K117" s="264">
        <f t="shared" si="44"/>
        <v>11.700000000000003</v>
      </c>
      <c r="L117" s="264">
        <f t="shared" si="44"/>
        <v>12.500000000000004</v>
      </c>
      <c r="M117" s="265">
        <f t="shared" si="44"/>
        <v>13.300000000000004</v>
      </c>
      <c r="N117" s="265">
        <f t="shared" si="44"/>
        <v>14.100000000000005</v>
      </c>
      <c r="O117" s="266">
        <f t="shared" si="44"/>
        <v>14.900000000000006</v>
      </c>
    </row>
    <row r="118" spans="3:15" outlineLevel="1" x14ac:dyDescent="0.35">
      <c r="C118" s="326" t="str">
        <f>+C104</f>
        <v>Discount Rate (WACC):</v>
      </c>
      <c r="D118" s="246">
        <f>+D104</f>
        <v>8.6999999999999994E-2</v>
      </c>
      <c r="E118" s="250">
        <f t="dataTable" ref="E118:O126" dt2D="1" dtr="1" r1="I11" r2="D12"/>
        <v>85.634720269867074</v>
      </c>
      <c r="F118" s="251">
        <v>90.126591110349679</v>
      </c>
      <c r="G118" s="251">
        <v>94.618461950832284</v>
      </c>
      <c r="H118" s="253">
        <v>99.110332791314889</v>
      </c>
      <c r="I118" s="267">
        <v>103.60220363179751</v>
      </c>
      <c r="J118" s="251">
        <v>108.09407447228014</v>
      </c>
      <c r="K118" s="251">
        <v>112.58594531276275</v>
      </c>
      <c r="L118" s="251">
        <v>117.07781615324537</v>
      </c>
      <c r="M118" s="254">
        <v>121.56968699372797</v>
      </c>
      <c r="N118" s="254">
        <v>126.0615578342106</v>
      </c>
      <c r="O118" s="254">
        <v>130.55342867469321</v>
      </c>
    </row>
    <row r="119" spans="3:15" outlineLevel="1" x14ac:dyDescent="0.35">
      <c r="C119" s="327"/>
      <c r="D119" s="246">
        <f>+D105</f>
        <v>8.4499999999999992E-2</v>
      </c>
      <c r="E119" s="256">
        <v>87.200567718826818</v>
      </c>
      <c r="F119" s="257">
        <v>91.797066374130665</v>
      </c>
      <c r="G119" s="257">
        <v>96.393565029434498</v>
      </c>
      <c r="H119" s="259">
        <v>100.99006368473833</v>
      </c>
      <c r="I119" s="261">
        <v>105.58656234004218</v>
      </c>
      <c r="J119" s="257">
        <v>110.18306099534601</v>
      </c>
      <c r="K119" s="257">
        <v>114.77955965064987</v>
      </c>
      <c r="L119" s="257">
        <v>119.37605830595372</v>
      </c>
      <c r="M119" s="258">
        <v>123.97255696125754</v>
      </c>
      <c r="N119" s="258">
        <v>128.5690556165614</v>
      </c>
      <c r="O119" s="258">
        <v>133.16555427186523</v>
      </c>
    </row>
    <row r="120" spans="3:15" outlineLevel="1" x14ac:dyDescent="0.35">
      <c r="C120" s="327"/>
      <c r="D120" s="246">
        <f t="shared" ref="D120:D126" si="45">+D106</f>
        <v>8.199999999999999E-2</v>
      </c>
      <c r="E120" s="256">
        <v>88.801180506212575</v>
      </c>
      <c r="F120" s="257">
        <v>93.504993995286981</v>
      </c>
      <c r="G120" s="257">
        <v>98.208807484361401</v>
      </c>
      <c r="H120" s="259">
        <v>102.91262097343582</v>
      </c>
      <c r="I120" s="261">
        <v>107.61643446251026</v>
      </c>
      <c r="J120" s="257">
        <v>112.32024795158468</v>
      </c>
      <c r="K120" s="257">
        <v>117.02406144065911</v>
      </c>
      <c r="L120" s="257">
        <v>121.72787492973353</v>
      </c>
      <c r="M120" s="258">
        <v>126.43168841880795</v>
      </c>
      <c r="N120" s="258">
        <v>131.13550190788237</v>
      </c>
      <c r="O120" s="258">
        <v>135.83931539695681</v>
      </c>
    </row>
    <row r="121" spans="3:15" outlineLevel="1" x14ac:dyDescent="0.35">
      <c r="C121" s="327"/>
      <c r="D121" s="246">
        <f t="shared" si="45"/>
        <v>7.9499999999999987E-2</v>
      </c>
      <c r="E121" s="256">
        <v>90.437463328274319</v>
      </c>
      <c r="F121" s="257">
        <v>95.251354126491577</v>
      </c>
      <c r="G121" s="257">
        <v>100.06524492470879</v>
      </c>
      <c r="H121" s="259">
        <v>104.87913572292605</v>
      </c>
      <c r="I121" s="261">
        <v>109.69302652114328</v>
      </c>
      <c r="J121" s="257">
        <v>114.50691731936053</v>
      </c>
      <c r="K121" s="257">
        <v>119.32080811757778</v>
      </c>
      <c r="L121" s="257">
        <v>124.13469891579503</v>
      </c>
      <c r="M121" s="258">
        <v>128.94858971401226</v>
      </c>
      <c r="N121" s="258">
        <v>133.7624805122295</v>
      </c>
      <c r="O121" s="258">
        <v>138.57637131044675</v>
      </c>
    </row>
    <row r="122" spans="3:15" outlineLevel="1" x14ac:dyDescent="0.35">
      <c r="C122" s="327"/>
      <c r="D122" s="246">
        <f t="shared" si="45"/>
        <v>7.6999999999999985E-2</v>
      </c>
      <c r="E122" s="260">
        <v>92.110347216876306</v>
      </c>
      <c r="F122" s="259">
        <v>97.037155556940832</v>
      </c>
      <c r="G122" s="259">
        <v>101.96396389700536</v>
      </c>
      <c r="H122" s="259">
        <v>106.89077223706992</v>
      </c>
      <c r="I122" s="261">
        <v>111.81758057713445</v>
      </c>
      <c r="J122" s="259">
        <v>116.74438891719899</v>
      </c>
      <c r="K122" s="259">
        <v>121.67119725726353</v>
      </c>
      <c r="L122" s="259">
        <v>126.59800559732805</v>
      </c>
      <c r="M122" s="261">
        <v>131.52481393739257</v>
      </c>
      <c r="N122" s="261">
        <v>136.45162227745715</v>
      </c>
      <c r="O122" s="261">
        <v>141.37843061752167</v>
      </c>
    </row>
    <row r="123" spans="3:15" outlineLevel="1" x14ac:dyDescent="0.35">
      <c r="C123" s="327"/>
      <c r="D123" s="246">
        <f t="shared" si="45"/>
        <v>7.4499999999999983E-2</v>
      </c>
      <c r="E123" s="256">
        <v>93.820790379784214</v>
      </c>
      <c r="F123" s="257">
        <v>98.863436628378764</v>
      </c>
      <c r="G123" s="257">
        <v>103.90608287697331</v>
      </c>
      <c r="H123" s="259">
        <v>108.94872912556787</v>
      </c>
      <c r="I123" s="261">
        <v>113.99137537416243</v>
      </c>
      <c r="J123" s="257">
        <v>119.03402162275698</v>
      </c>
      <c r="K123" s="257">
        <v>124.07666787135155</v>
      </c>
      <c r="L123" s="257">
        <v>129.1193141199461</v>
      </c>
      <c r="M123" s="258">
        <v>134.16196036854063</v>
      </c>
      <c r="N123" s="258">
        <v>139.20460661713523</v>
      </c>
      <c r="O123" s="258">
        <v>144.24725286572976</v>
      </c>
    </row>
    <row r="124" spans="3:15" outlineLevel="1" x14ac:dyDescent="0.35">
      <c r="C124" s="327"/>
      <c r="D124" s="262">
        <f t="shared" si="45"/>
        <v>7.1999999999999981E-2</v>
      </c>
      <c r="E124" s="256">
        <v>95.569779070000294</v>
      </c>
      <c r="F124" s="257">
        <v>100.73126618284562</v>
      </c>
      <c r="G124" s="257">
        <v>105.89275329569091</v>
      </c>
      <c r="H124" s="259">
        <v>111.05424040853624</v>
      </c>
      <c r="I124" s="261">
        <v>116.21572752138157</v>
      </c>
      <c r="J124" s="257">
        <v>121.37721463422687</v>
      </c>
      <c r="K124" s="257">
        <v>126.53870174707221</v>
      </c>
      <c r="L124" s="257">
        <v>131.70018885991755</v>
      </c>
      <c r="M124" s="258">
        <v>136.86167597276284</v>
      </c>
      <c r="N124" s="258">
        <v>142.02316308560819</v>
      </c>
      <c r="O124" s="258">
        <v>147.18465019845351</v>
      </c>
    </row>
    <row r="125" spans="3:15" outlineLevel="1" x14ac:dyDescent="0.35">
      <c r="C125" s="327"/>
      <c r="D125" s="262">
        <f t="shared" si="45"/>
        <v>6.9499999999999978E-2</v>
      </c>
      <c r="E125" s="256">
        <v>97.358328485229535</v>
      </c>
      <c r="F125" s="257">
        <v>102.64174454333659</v>
      </c>
      <c r="G125" s="257">
        <v>107.92516060144361</v>
      </c>
      <c r="H125" s="259">
        <v>113.20857665955067</v>
      </c>
      <c r="I125" s="261">
        <v>118.49199271765769</v>
      </c>
      <c r="J125" s="257">
        <v>123.77540877576476</v>
      </c>
      <c r="K125" s="257">
        <v>129.0588248338718</v>
      </c>
      <c r="L125" s="257">
        <v>134.34224089197886</v>
      </c>
      <c r="M125" s="258">
        <v>139.6256569500859</v>
      </c>
      <c r="N125" s="258">
        <v>144.90907300819296</v>
      </c>
      <c r="O125" s="258">
        <v>150.1924890663</v>
      </c>
    </row>
    <row r="126" spans="3:15" outlineLevel="1" x14ac:dyDescent="0.35">
      <c r="C126" s="328"/>
      <c r="D126" s="263">
        <f t="shared" si="45"/>
        <v>6.6999999999999976E-2</v>
      </c>
      <c r="E126" s="256">
        <v>99.187483698595571</v>
      </c>
      <c r="F126" s="257">
        <v>104.59600452859367</v>
      </c>
      <c r="G126" s="257">
        <v>110.00452535859175</v>
      </c>
      <c r="H126" s="259">
        <v>115.41304618858985</v>
      </c>
      <c r="I126" s="261">
        <v>120.82156701858794</v>
      </c>
      <c r="J126" s="257">
        <v>126.23008784858607</v>
      </c>
      <c r="K126" s="257">
        <v>131.63860867858418</v>
      </c>
      <c r="L126" s="257">
        <v>137.04712950858229</v>
      </c>
      <c r="M126" s="258">
        <v>142.45565033858037</v>
      </c>
      <c r="N126" s="258">
        <v>147.86417116857848</v>
      </c>
      <c r="O126" s="258">
        <v>153.27269199857659</v>
      </c>
    </row>
    <row r="127" spans="3:15" outlineLevel="1" x14ac:dyDescent="0.35"/>
  </sheetData>
  <mergeCells count="2">
    <mergeCell ref="C104:C112"/>
    <mergeCell ref="C118:C126"/>
  </mergeCells>
  <pageMargins left="0.7" right="0.7" top="0.75" bottom="0.75" header="0.3" footer="0.3"/>
  <pageSetup scale="34" orientation="portrait" r:id="rId1"/>
  <rowBreaks count="2" manualBreakCount="2">
    <brk id="36" max="18" man="1"/>
    <brk id="97" max="18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F471-2D37-48F2-9234-1021C92A7B90}">
  <sheetPr>
    <pageSetUpPr autoPageBreaks="0"/>
  </sheetPr>
  <dimension ref="B1:AA51"/>
  <sheetViews>
    <sheetView showGridLines="0" topLeftCell="A10" zoomScale="58" zoomScaleNormal="58" workbookViewId="0">
      <selection activeCell="L41" sqref="L41"/>
    </sheetView>
  </sheetViews>
  <sheetFormatPr defaultColWidth="9.1796875" defaultRowHeight="15.5" outlineLevelCol="1" x14ac:dyDescent="0.35"/>
  <cols>
    <col min="1" max="1" width="2.7265625" style="213" customWidth="1"/>
    <col min="2" max="2" width="39.26953125" style="213" bestFit="1" customWidth="1"/>
    <col min="3" max="3" width="6.26953125" style="213" hidden="1" customWidth="1" outlineLevel="1"/>
    <col min="4" max="4" width="12.7265625" style="213" customWidth="1" collapsed="1"/>
    <col min="5" max="12" width="12.7265625" style="213" customWidth="1"/>
    <col min="13" max="14" width="2.7265625" style="213" customWidth="1"/>
    <col min="15" max="23" width="10.7265625" style="213" customWidth="1"/>
    <col min="24" max="16384" width="9.1796875" style="213"/>
  </cols>
  <sheetData>
    <row r="1" spans="2:27" ht="15.75" customHeight="1" x14ac:dyDescent="0.35"/>
    <row r="2" spans="2:27" ht="15.75" customHeight="1" x14ac:dyDescent="0.45">
      <c r="B2" s="268" t="str">
        <f>"WACC Analysis - "&amp;TEXT(Company_Name,"")</f>
        <v>WACC Analysis - Best Buy Co.</v>
      </c>
      <c r="C2" s="214"/>
    </row>
    <row r="3" spans="2:27" ht="15.75" customHeight="1" x14ac:dyDescent="0.35">
      <c r="B3" s="132" t="str">
        <f>[1]DCF!$B$3</f>
        <v>($ in Millions Except Per Share and Per Unit Data)</v>
      </c>
    </row>
    <row r="4" spans="2:27" ht="15.75" customHeight="1" x14ac:dyDescent="0.35">
      <c r="AA4" s="2"/>
    </row>
    <row r="5" spans="2:27" ht="15.75" customHeight="1" x14ac:dyDescent="0.35">
      <c r="B5" s="269" t="s">
        <v>192</v>
      </c>
      <c r="C5" s="269"/>
      <c r="D5" s="270"/>
      <c r="E5" s="270"/>
      <c r="F5" s="270"/>
      <c r="G5" s="271"/>
      <c r="H5" s="271"/>
      <c r="AA5" s="2"/>
    </row>
    <row r="6" spans="2:27" ht="15.75" customHeight="1" x14ac:dyDescent="0.35">
      <c r="B6" s="132" t="s">
        <v>193</v>
      </c>
      <c r="C6" s="2"/>
      <c r="F6" s="272">
        <v>4.2000000000000003E-2</v>
      </c>
      <c r="G6" s="273"/>
      <c r="H6" s="273"/>
      <c r="I6" s="274"/>
      <c r="AA6" s="2"/>
    </row>
    <row r="7" spans="2:27" ht="15.75" customHeight="1" x14ac:dyDescent="0.35">
      <c r="B7" s="132" t="s">
        <v>194</v>
      </c>
      <c r="C7" s="2"/>
      <c r="F7" s="272">
        <v>4.3299999999999998E-2</v>
      </c>
      <c r="G7" s="273"/>
      <c r="H7" s="273"/>
      <c r="AA7" s="2"/>
    </row>
    <row r="8" spans="2:27" ht="15.75" customHeight="1" x14ac:dyDescent="0.35">
      <c r="B8" s="132" t="s">
        <v>195</v>
      </c>
      <c r="C8" s="2"/>
      <c r="F8" s="275">
        <v>4.2000000000000003E-2</v>
      </c>
      <c r="G8" s="273"/>
      <c r="H8" s="276"/>
      <c r="I8" s="277"/>
      <c r="J8" s="277"/>
      <c r="AA8" s="2"/>
    </row>
    <row r="9" spans="2:27" ht="15.75" customHeight="1" x14ac:dyDescent="0.35">
      <c r="B9" s="132" t="s">
        <v>196</v>
      </c>
      <c r="C9" s="2"/>
      <c r="F9" s="272">
        <v>0</v>
      </c>
      <c r="G9" s="273"/>
      <c r="H9" s="273"/>
      <c r="I9" s="277"/>
      <c r="J9" s="277"/>
      <c r="AA9" s="2"/>
    </row>
    <row r="10" spans="2:27" ht="15.75" customHeight="1" x14ac:dyDescent="0.35">
      <c r="AA10" s="2"/>
    </row>
    <row r="11" spans="2:27" ht="15.75" customHeight="1" x14ac:dyDescent="0.35">
      <c r="B11" s="4" t="s">
        <v>197</v>
      </c>
      <c r="C11" s="4"/>
      <c r="D11" s="4"/>
      <c r="E11" s="4"/>
      <c r="F11" s="4"/>
      <c r="G11" s="4"/>
      <c r="H11" s="4"/>
      <c r="I11" s="4"/>
      <c r="J11" s="4"/>
      <c r="K11" s="4"/>
      <c r="L11" s="4"/>
      <c r="AA11" s="2"/>
    </row>
    <row r="12" spans="2:27" ht="15.75" customHeight="1" x14ac:dyDescent="0.35">
      <c r="B12" s="4"/>
      <c r="C12" s="4"/>
      <c r="D12" s="5" t="s">
        <v>198</v>
      </c>
      <c r="E12" s="5"/>
      <c r="F12" s="5"/>
      <c r="G12" s="5" t="s">
        <v>82</v>
      </c>
      <c r="H12" s="5"/>
      <c r="I12" s="5" t="s">
        <v>81</v>
      </c>
      <c r="J12" s="5"/>
      <c r="K12" s="5"/>
      <c r="L12" s="5" t="s">
        <v>199</v>
      </c>
      <c r="AA12" s="2"/>
    </row>
    <row r="13" spans="2:27" ht="15.75" customHeight="1" x14ac:dyDescent="0.35">
      <c r="B13" s="41" t="s">
        <v>200</v>
      </c>
      <c r="C13" s="41" t="s">
        <v>87</v>
      </c>
      <c r="D13" s="9" t="s">
        <v>201</v>
      </c>
      <c r="E13" s="9" t="s">
        <v>91</v>
      </c>
      <c r="F13" s="9" t="s">
        <v>202</v>
      </c>
      <c r="G13" s="9" t="s">
        <v>92</v>
      </c>
      <c r="H13" s="9" t="s">
        <v>203</v>
      </c>
      <c r="I13" s="9" t="s">
        <v>14</v>
      </c>
      <c r="J13" s="9" t="s">
        <v>204</v>
      </c>
      <c r="K13" s="9" t="s">
        <v>205</v>
      </c>
      <c r="L13" s="9" t="s">
        <v>201</v>
      </c>
      <c r="AA13" s="2"/>
    </row>
    <row r="14" spans="2:27" ht="15.75" customHeight="1" x14ac:dyDescent="0.35">
      <c r="B14" t="str">
        <f>'Public-Comps'!B8</f>
        <v>The Kroger Co.</v>
      </c>
      <c r="C14" t="str">
        <f>'Public-Comps'!C8</f>
        <v>KR</v>
      </c>
      <c r="D14" s="278">
        <v>0.57999999999999996</v>
      </c>
      <c r="E14" s="279">
        <v>25082</v>
      </c>
      <c r="F14" s="280">
        <f>+E14/($E14+$G14+$I14)</f>
        <v>0.34581552461050602</v>
      </c>
      <c r="G14" s="279">
        <v>0</v>
      </c>
      <c r="H14" s="280">
        <f>+G14/($E14+$G14+$I14)</f>
        <v>0</v>
      </c>
      <c r="I14" s="279">
        <f>'Public-Comps'!F8</f>
        <v>47448.000000000007</v>
      </c>
      <c r="J14" s="280">
        <f>+I14/($E14+$G14+$I14)</f>
        <v>0.65418447538949409</v>
      </c>
      <c r="K14" s="280">
        <v>0.2437115707098938</v>
      </c>
      <c r="L14" s="281">
        <f>IFERROR(D14/(1+(E14/I14)*(1-K14)+G14/I14),"N/A")</f>
        <v>0.41434792595999792</v>
      </c>
      <c r="AA14" s="2"/>
    </row>
    <row r="15" spans="2:27" ht="15.75" customHeight="1" x14ac:dyDescent="0.35">
      <c r="B15" t="str">
        <f>'Public-Comps'!B9</f>
        <v>Target Corporation</v>
      </c>
      <c r="C15" t="str">
        <f>'Public-Comps'!C9</f>
        <v>TGT</v>
      </c>
      <c r="D15" s="278">
        <v>1.1200000000000001</v>
      </c>
      <c r="E15" s="282">
        <v>11178</v>
      </c>
      <c r="F15" s="280">
        <f>+E15/($E15+$G15+$I15)</f>
        <v>0.22180094109635304</v>
      </c>
      <c r="G15" s="282">
        <v>0</v>
      </c>
      <c r="H15" s="280">
        <f t="shared" ref="H15:H19" si="0">+G15/($E15+$G15+$I15)</f>
        <v>0</v>
      </c>
      <c r="I15" s="279">
        <f>'Public-Comps'!F9</f>
        <v>39218.54</v>
      </c>
      <c r="J15" s="280">
        <f t="shared" ref="J15:J18" si="1">+I15/($E15+$G15+$I15)</f>
        <v>0.77819905890364693</v>
      </c>
      <c r="K15" s="280">
        <v>0.28949999999999998</v>
      </c>
      <c r="L15" s="281">
        <f t="shared" ref="L15:L18" si="2">IFERROR(D15/(1+(E15/I15)*(1-K15)+G15/I15),"N/A")</f>
        <v>0.93138869217887377</v>
      </c>
      <c r="AA15" s="2"/>
    </row>
    <row r="16" spans="2:27" ht="15.75" customHeight="1" x14ac:dyDescent="0.35">
      <c r="B16" t="str">
        <f>'Public-Comps'!B10</f>
        <v>BJ’s Wholesale Club Holdings, Inc.</v>
      </c>
      <c r="C16" t="str">
        <f>'Public-Comps'!C10</f>
        <v>BJ</v>
      </c>
      <c r="D16" s="278">
        <v>0.31</v>
      </c>
      <c r="E16" s="282">
        <v>2843.9160000000002</v>
      </c>
      <c r="F16" s="280">
        <f t="shared" ref="F16:F18" si="3">+E16/($E16+$G16+$I16)</f>
        <v>0.19058626428348527</v>
      </c>
      <c r="G16" s="282">
        <v>0</v>
      </c>
      <c r="H16" s="280">
        <f t="shared" si="0"/>
        <v>0</v>
      </c>
      <c r="I16" s="279">
        <f>'Public-Comps'!F10</f>
        <v>12078.0198</v>
      </c>
      <c r="J16" s="280">
        <f t="shared" si="1"/>
        <v>0.80941373571651476</v>
      </c>
      <c r="K16" s="280">
        <v>0.23674911660777384</v>
      </c>
      <c r="L16" s="281">
        <f t="shared" si="2"/>
        <v>0.26277496117915489</v>
      </c>
      <c r="AA16" s="2"/>
    </row>
    <row r="17" spans="2:27" ht="15.75" customHeight="1" x14ac:dyDescent="0.35">
      <c r="B17" t="str">
        <f>'Public-Comps'!B11</f>
        <v>The TJX Companies, Inc.</v>
      </c>
      <c r="C17" t="str">
        <f>'Public-Comps'!C11</f>
        <v>TJX</v>
      </c>
      <c r="D17" s="278">
        <v>0.77</v>
      </c>
      <c r="E17" s="282">
        <v>12778</v>
      </c>
      <c r="F17" s="280">
        <f t="shared" si="3"/>
        <v>7.1729004699153581E-2</v>
      </c>
      <c r="G17" s="282">
        <v>0</v>
      </c>
      <c r="H17" s="280">
        <f t="shared" si="0"/>
        <v>0</v>
      </c>
      <c r="I17" s="279">
        <f>'Public-Comps'!F11</f>
        <v>165364.72</v>
      </c>
      <c r="J17" s="280">
        <f t="shared" si="1"/>
        <v>0.92827099530084645</v>
      </c>
      <c r="K17" s="280">
        <v>0.2124053371799495</v>
      </c>
      <c r="L17" s="281">
        <f t="shared" si="2"/>
        <v>0.72582709467040174</v>
      </c>
      <c r="AA17" s="2"/>
    </row>
    <row r="18" spans="2:27" ht="15.75" customHeight="1" x14ac:dyDescent="0.35">
      <c r="B18" t="str">
        <f>'Public-Comps'!B12</f>
        <v xml:space="preserve">Costco Wholesale </v>
      </c>
      <c r="C18" t="str">
        <f>'Public-Comps'!C12</f>
        <v>COST</v>
      </c>
      <c r="D18" s="278">
        <v>0.98</v>
      </c>
      <c r="E18" s="282">
        <v>8173</v>
      </c>
      <c r="F18" s="280">
        <f t="shared" si="3"/>
        <v>0.17074193187955794</v>
      </c>
      <c r="G18" s="282">
        <v>0</v>
      </c>
      <c r="H18" s="280">
        <f t="shared" si="0"/>
        <v>0</v>
      </c>
      <c r="I18" s="279">
        <f>'Public-Comps'!F12</f>
        <v>39694.56194</v>
      </c>
      <c r="J18" s="280">
        <f t="shared" si="1"/>
        <v>0.82925806812044212</v>
      </c>
      <c r="K18" s="280">
        <v>0.24358435002103493</v>
      </c>
      <c r="L18" s="281">
        <f t="shared" si="2"/>
        <v>0.84793873159993416</v>
      </c>
      <c r="AA18" s="2"/>
    </row>
    <row r="19" spans="2:27" ht="15.75" customHeight="1" x14ac:dyDescent="0.35">
      <c r="B19" t="str">
        <f>'Public-Comps'!B13</f>
        <v>Lowe's Companies, Inc.</v>
      </c>
      <c r="C19" t="str">
        <f>'Public-Comps'!C13</f>
        <v>LOW</v>
      </c>
      <c r="D19" s="278">
        <v>0.96</v>
      </c>
      <c r="E19" s="282">
        <v>39678</v>
      </c>
      <c r="F19" s="280">
        <f>+E19/($E19+$G19+$I19)</f>
        <v>0.23531935591538672</v>
      </c>
      <c r="G19" s="282">
        <v>0</v>
      </c>
      <c r="H19" s="280">
        <f t="shared" si="0"/>
        <v>0</v>
      </c>
      <c r="I19" s="279">
        <f>'Public-Comps'!F13</f>
        <v>128935.41408</v>
      </c>
      <c r="J19" s="280">
        <f>+I19/($E19+$G19+$I19)</f>
        <v>0.76468064408461323</v>
      </c>
      <c r="K19" s="280">
        <v>0.24358435002103493</v>
      </c>
      <c r="L19" s="281">
        <f>IFERROR(D19/(1+(E19/I19)*(1-K19)+G19/I19),"N/A")</f>
        <v>0.77873032823208832</v>
      </c>
      <c r="AA19" s="2"/>
    </row>
    <row r="20" spans="2:27" ht="15.75" customHeight="1" x14ac:dyDescent="0.35">
      <c r="AA20" s="2"/>
    </row>
    <row r="21" spans="2:27" ht="15.75" customHeight="1" x14ac:dyDescent="0.35">
      <c r="B21" s="283" t="s">
        <v>206</v>
      </c>
      <c r="C21" s="92"/>
      <c r="D21" s="284">
        <f t="shared" ref="D21:L21" si="4">MEDIAN(D14:D19)</f>
        <v>0.86499999999999999</v>
      </c>
      <c r="E21" s="285">
        <f t="shared" si="4"/>
        <v>11978</v>
      </c>
      <c r="F21" s="286">
        <f t="shared" si="4"/>
        <v>0.20619360268991915</v>
      </c>
      <c r="G21" s="285">
        <f t="shared" si="4"/>
        <v>0</v>
      </c>
      <c r="H21" s="286">
        <f t="shared" si="4"/>
        <v>0</v>
      </c>
      <c r="I21" s="285">
        <f t="shared" si="4"/>
        <v>43571.280970000007</v>
      </c>
      <c r="J21" s="286">
        <f t="shared" si="4"/>
        <v>0.79380639731008085</v>
      </c>
      <c r="K21" s="286">
        <f t="shared" si="4"/>
        <v>0.24358435002103493</v>
      </c>
      <c r="L21" s="287">
        <f t="shared" si="4"/>
        <v>0.75227871145124503</v>
      </c>
      <c r="AA21" s="2"/>
    </row>
    <row r="22" spans="2:27" ht="15.75" customHeight="1" x14ac:dyDescent="0.35">
      <c r="AA22" s="2"/>
    </row>
    <row r="23" spans="2:27" ht="15.75" customHeight="1" x14ac:dyDescent="0.35">
      <c r="B23" s="101" t="str">
        <f>Company_Name</f>
        <v>Best Buy Co.</v>
      </c>
      <c r="C23" s="102" t="str">
        <f>Ticker</f>
        <v>BBY</v>
      </c>
      <c r="D23" s="288">
        <v>1.39</v>
      </c>
      <c r="E23" s="110">
        <v>4053</v>
      </c>
      <c r="F23" s="320">
        <f>+E23/($E23+$G23+$I23)</f>
        <v>0.20090284837907141</v>
      </c>
      <c r="G23" s="111">
        <v>0</v>
      </c>
      <c r="H23" s="111">
        <v>0</v>
      </c>
      <c r="I23" s="111">
        <f>'Public-Comps'!F21</f>
        <v>16120.930000000002</v>
      </c>
      <c r="J23" s="320">
        <f>+I23/($E23+$G23+$I23)</f>
        <v>0.79909715162092865</v>
      </c>
      <c r="K23" s="289">
        <v>0.25</v>
      </c>
      <c r="L23" s="290">
        <f>IFERROR(D23/(1+(E23/I23)*(1-K23)+G23/I23),"N/A")</f>
        <v>1.1694831655243969</v>
      </c>
      <c r="S23" s="280"/>
      <c r="AA23" s="2"/>
    </row>
    <row r="24" spans="2:27" ht="15.75" customHeight="1" x14ac:dyDescent="0.35">
      <c r="AA24" s="2"/>
    </row>
    <row r="25" spans="2:27" ht="15.75" customHeight="1" x14ac:dyDescent="0.35">
      <c r="B25" s="4" t="str">
        <f>TEXT(Company_Name,"")&amp; " - Levered Beta &amp; WACC Calculation:"</f>
        <v>Best Buy Co. - Levered Beta &amp; WACC Calculation:</v>
      </c>
      <c r="C25" s="4"/>
      <c r="D25" s="4"/>
      <c r="E25" s="4"/>
      <c r="F25" s="4"/>
      <c r="G25" s="4"/>
      <c r="H25" s="4"/>
      <c r="I25" s="4"/>
      <c r="J25" s="4"/>
      <c r="K25" s="4"/>
      <c r="L25" s="4"/>
      <c r="AA25" s="2"/>
    </row>
    <row r="26" spans="2:27" ht="15.75" customHeight="1" x14ac:dyDescent="0.35">
      <c r="B26" s="4"/>
      <c r="C26" s="4"/>
      <c r="D26" s="5" t="s">
        <v>199</v>
      </c>
      <c r="E26" s="5"/>
      <c r="F26" s="5"/>
      <c r="G26" s="5" t="s">
        <v>82</v>
      </c>
      <c r="H26" s="5"/>
      <c r="I26" s="5" t="s">
        <v>81</v>
      </c>
      <c r="J26" s="5"/>
      <c r="K26" s="5"/>
      <c r="L26" s="5" t="s">
        <v>198</v>
      </c>
      <c r="AA26" s="2"/>
    </row>
    <row r="27" spans="2:27" ht="15.75" customHeight="1" x14ac:dyDescent="0.35">
      <c r="B27" s="41"/>
      <c r="C27" s="41" t="s">
        <v>87</v>
      </c>
      <c r="D27" s="9" t="s">
        <v>201</v>
      </c>
      <c r="E27" s="9" t="s">
        <v>91</v>
      </c>
      <c r="F27" s="9" t="s">
        <v>202</v>
      </c>
      <c r="G27" s="9" t="s">
        <v>92</v>
      </c>
      <c r="H27" s="9" t="s">
        <v>203</v>
      </c>
      <c r="I27" s="9" t="s">
        <v>14</v>
      </c>
      <c r="J27" s="9" t="s">
        <v>204</v>
      </c>
      <c r="K27" s="9" t="s">
        <v>205</v>
      </c>
      <c r="L27" s="9" t="s">
        <v>201</v>
      </c>
      <c r="AA27" s="2"/>
    </row>
    <row r="28" spans="2:27" ht="15.75" customHeight="1" x14ac:dyDescent="0.35">
      <c r="B28" s="291" t="s">
        <v>207</v>
      </c>
      <c r="C28" s="291" t="str">
        <f>Ticker</f>
        <v>BBY</v>
      </c>
      <c r="D28" s="292">
        <f>+L21</f>
        <v>0.75227871145124503</v>
      </c>
      <c r="E28" s="293">
        <v>4070</v>
      </c>
      <c r="F28" s="294">
        <f>+E28/($E28+$G28+$I28)</f>
        <v>0.20157495914021098</v>
      </c>
      <c r="G28" s="293">
        <v>0</v>
      </c>
      <c r="H28" s="294">
        <f>+G28/($E28+$G28+$I28)</f>
        <v>0</v>
      </c>
      <c r="I28" s="293">
        <v>16121</v>
      </c>
      <c r="J28" s="294">
        <f>+I28/($E28+$G28+$I28)</f>
        <v>0.79842504085978905</v>
      </c>
      <c r="K28" s="295">
        <f>Tax_Rate</f>
        <v>0.21</v>
      </c>
      <c r="L28" s="296">
        <f>D28*(1+(E28/I28)*(1-Tax_Rate)+(G28/I28))</f>
        <v>0.90231913952203391</v>
      </c>
      <c r="AA28" s="2"/>
    </row>
    <row r="29" spans="2:27" ht="15.75" customHeight="1" x14ac:dyDescent="0.35">
      <c r="B29" s="132" t="s">
        <v>208</v>
      </c>
      <c r="C29" s="132" t="str">
        <f>Ticker</f>
        <v>BBY</v>
      </c>
      <c r="D29" s="297">
        <f>+L21</f>
        <v>0.75227871145124503</v>
      </c>
      <c r="E29" s="298">
        <f>+F29*($E28+$G28+$I28)</f>
        <v>4163.2550319121574</v>
      </c>
      <c r="F29" s="299">
        <f>+F21</f>
        <v>0.20619360268991915</v>
      </c>
      <c r="G29" s="298">
        <f>+H29*($E28+$G28+$I28)</f>
        <v>0</v>
      </c>
      <c r="H29" s="299">
        <f>+H21</f>
        <v>0</v>
      </c>
      <c r="I29" s="298">
        <f>+J29*($E28+$G28+$I28)</f>
        <v>16027.744968087842</v>
      </c>
      <c r="J29" s="299">
        <f>+J21</f>
        <v>0.79380639731008085</v>
      </c>
      <c r="K29" s="300">
        <f>Tax_Rate</f>
        <v>0.21</v>
      </c>
      <c r="L29" s="301">
        <f>D29*(1+(E29/I29)*(1-Tax_Rate)+(G29/I29))</f>
        <v>0.90664997380272694</v>
      </c>
      <c r="AA29" s="2"/>
    </row>
    <row r="30" spans="2:27" ht="15.75" customHeight="1" x14ac:dyDescent="0.35">
      <c r="AA30" s="2"/>
    </row>
    <row r="31" spans="2:27" ht="15.75" customHeight="1" x14ac:dyDescent="0.35">
      <c r="B31" s="302" t="s">
        <v>209</v>
      </c>
      <c r="C31" s="303"/>
      <c r="D31" s="303"/>
      <c r="E31" s="303"/>
      <c r="F31" s="303"/>
      <c r="G31" s="303"/>
      <c r="H31" s="303"/>
      <c r="I31" s="303"/>
      <c r="J31" s="303"/>
      <c r="K31" s="303"/>
      <c r="L31" s="304">
        <f>+Risk_Free_Rate+Equity_Risk_Premium*L28</f>
        <v>8.1070418741304079E-2</v>
      </c>
      <c r="AA31" s="2"/>
    </row>
    <row r="32" spans="2:27" ht="15.75" customHeight="1" x14ac:dyDescent="0.35">
      <c r="B32" s="305" t="s">
        <v>210</v>
      </c>
      <c r="C32" s="306"/>
      <c r="D32" s="306"/>
      <c r="E32" s="306"/>
      <c r="F32" s="306"/>
      <c r="G32" s="306"/>
      <c r="H32" s="306"/>
      <c r="I32" s="306"/>
      <c r="J32" s="306"/>
      <c r="K32" s="306"/>
      <c r="L32" s="307">
        <f>+Risk_Free_Rate+Equity_Risk_Premium*L29</f>
        <v>8.1257943865658072E-2</v>
      </c>
      <c r="AA32" s="2"/>
    </row>
    <row r="33" spans="2:27" ht="15.75" customHeight="1" x14ac:dyDescent="0.35">
      <c r="B33" s="308" t="s">
        <v>211</v>
      </c>
      <c r="C33" s="309"/>
      <c r="D33" s="309"/>
      <c r="E33" s="309"/>
      <c r="F33" s="309"/>
      <c r="G33" s="309"/>
      <c r="H33" s="309"/>
      <c r="I33" s="309"/>
      <c r="J33" s="309"/>
      <c r="K33" s="309"/>
      <c r="L33" s="310">
        <f>+Risk_Free_Rate+Equity_Risk_Premium*D23</f>
        <v>0.102187</v>
      </c>
      <c r="AA33" s="2"/>
    </row>
    <row r="34" spans="2:27" ht="15.75" customHeight="1" x14ac:dyDescent="0.35"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AA34" s="2"/>
    </row>
    <row r="35" spans="2:27" ht="15.75" customHeight="1" x14ac:dyDescent="0.35">
      <c r="B35" s="132" t="s">
        <v>212</v>
      </c>
      <c r="C35" s="2"/>
      <c r="D35" s="2"/>
      <c r="E35" s="2"/>
      <c r="F35" s="2"/>
      <c r="G35" s="2"/>
      <c r="H35" s="2"/>
      <c r="I35" s="2"/>
      <c r="J35" s="2"/>
      <c r="K35" s="2"/>
      <c r="L35" s="2"/>
      <c r="AA35" s="2"/>
    </row>
    <row r="36" spans="2:27" ht="15.75" customHeight="1" x14ac:dyDescent="0.35"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AA36" s="2"/>
    </row>
    <row r="37" spans="2:27" ht="15.75" customHeight="1" x14ac:dyDescent="0.35">
      <c r="B37" s="302" t="s">
        <v>213</v>
      </c>
      <c r="C37" s="303"/>
      <c r="D37" s="303"/>
      <c r="E37" s="303"/>
      <c r="F37" s="303"/>
      <c r="G37" s="303"/>
      <c r="H37" s="303"/>
      <c r="I37" s="303"/>
      <c r="J37" s="303"/>
      <c r="K37" s="303"/>
      <c r="L37" s="311">
        <f>+L31*J28+Cost_of_Debt*(1-Tax_Rate)*F28+Cost_of_Preferred*H28</f>
        <v>7.141690954031811E-2</v>
      </c>
      <c r="AA37" s="2"/>
    </row>
    <row r="38" spans="2:27" ht="15.75" customHeight="1" x14ac:dyDescent="0.35">
      <c r="B38" s="305" t="s">
        <v>214</v>
      </c>
      <c r="C38" s="306"/>
      <c r="D38" s="306"/>
      <c r="E38" s="306"/>
      <c r="F38" s="306"/>
      <c r="G38" s="306"/>
      <c r="H38" s="306"/>
      <c r="I38" s="306"/>
      <c r="J38" s="306"/>
      <c r="K38" s="306"/>
      <c r="L38" s="312">
        <f>+L33*J28+Cost_of_Debt*(1-Tax_Rate)*F28+Cost_of_Preferred*H28</f>
        <v>8.8276916794611457E-2</v>
      </c>
      <c r="AA38" s="2"/>
    </row>
    <row r="39" spans="2:27" ht="15.75" customHeight="1" x14ac:dyDescent="0.35">
      <c r="B39" s="308" t="s">
        <v>215</v>
      </c>
      <c r="C39" s="309"/>
      <c r="D39" s="309"/>
      <c r="E39" s="309"/>
      <c r="F39" s="309"/>
      <c r="G39" s="309"/>
      <c r="H39" s="309"/>
      <c r="I39" s="309"/>
      <c r="J39" s="309"/>
      <c r="K39" s="309"/>
      <c r="L39" s="313">
        <f>+L32*J29+Cost_of_Debt*(1-Tax_Rate)*F29+Cost_of_Preferred*H29</f>
        <v>7.1344579410074341E-2</v>
      </c>
      <c r="AA39" s="2"/>
    </row>
    <row r="40" spans="2:27" ht="15.75" customHeight="1" x14ac:dyDescent="0.35">
      <c r="AA40" s="2"/>
    </row>
    <row r="41" spans="2:27" ht="15.75" customHeight="1" x14ac:dyDescent="0.35">
      <c r="B41" s="101" t="s">
        <v>216</v>
      </c>
      <c r="C41" s="102"/>
      <c r="D41" s="102"/>
      <c r="E41" s="102"/>
      <c r="F41" s="102"/>
      <c r="G41" s="102"/>
      <c r="H41" s="102"/>
      <c r="I41" s="102"/>
      <c r="J41" s="102"/>
      <c r="K41" s="102"/>
      <c r="L41" s="314">
        <f>AVERAGE(L37:L39)</f>
        <v>7.7012801915001303E-2</v>
      </c>
      <c r="AA41" s="2"/>
    </row>
    <row r="42" spans="2:27" x14ac:dyDescent="0.35">
      <c r="AA42" s="2"/>
    </row>
    <row r="43" spans="2:27" x14ac:dyDescent="0.35">
      <c r="AA43" s="2"/>
    </row>
    <row r="44" spans="2:27" x14ac:dyDescent="0.35">
      <c r="AA44" s="2"/>
    </row>
    <row r="45" spans="2:27" x14ac:dyDescent="0.35">
      <c r="AA45" s="2"/>
    </row>
    <row r="46" spans="2:27" x14ac:dyDescent="0.35">
      <c r="AA46" s="2"/>
    </row>
    <row r="47" spans="2:27" x14ac:dyDescent="0.35">
      <c r="AA47" s="2"/>
    </row>
    <row r="48" spans="2:27" x14ac:dyDescent="0.35">
      <c r="AA48" s="2"/>
    </row>
    <row r="49" spans="27:27" x14ac:dyDescent="0.35">
      <c r="AA49" s="2"/>
    </row>
    <row r="50" spans="27:27" x14ac:dyDescent="0.35">
      <c r="AA50" s="2"/>
    </row>
    <row r="51" spans="27:27" x14ac:dyDescent="0.35">
      <c r="AA51" s="2"/>
    </row>
  </sheetData>
  <pageMargins left="0.7" right="0.7" top="0.75" bottom="0.75" header="0.3" footer="0.3"/>
  <pageSetup scale="53" orientation="portrait" r:id="rId1"/>
  <ignoredErrors>
    <ignoredError sqref="I14:I19 F29 G29:I29" 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B479B-DDC7-418F-9754-7B4600A87DF0}">
  <sheetPr>
    <pageSetUpPr autoPageBreaks="0"/>
  </sheetPr>
  <dimension ref="A1:AN43"/>
  <sheetViews>
    <sheetView showGridLines="0" topLeftCell="V4" zoomScale="66" zoomScaleNormal="66" workbookViewId="0">
      <selection activeCell="AF35" sqref="AF35"/>
    </sheetView>
  </sheetViews>
  <sheetFormatPr defaultColWidth="9.1796875" defaultRowHeight="15.5" outlineLevelCol="1" x14ac:dyDescent="0.35"/>
  <cols>
    <col min="1" max="1" width="2.54296875" style="3" customWidth="1"/>
    <col min="2" max="2" width="30.453125" style="3" bestFit="1" customWidth="1"/>
    <col min="3" max="3" width="10.1796875" style="3" hidden="1" customWidth="1" outlineLevel="1"/>
    <col min="4" max="5" width="12.7265625" style="3" hidden="1" customWidth="1" outlineLevel="1"/>
    <col min="6" max="6" width="15.08984375" style="3" customWidth="1" collapsed="1"/>
    <col min="7" max="10" width="12.7265625" style="3" hidden="1" customWidth="1" outlineLevel="1"/>
    <col min="11" max="11" width="14.81640625" style="3" customWidth="1" collapsed="1"/>
    <col min="12" max="12" width="13.7265625" style="3" customWidth="1"/>
    <col min="13" max="13" width="14.08984375" style="3" customWidth="1"/>
    <col min="14" max="14" width="14.26953125" style="3" customWidth="1"/>
    <col min="15" max="25" width="12.7265625" style="3" customWidth="1"/>
    <col min="26" max="26" width="2.54296875" style="3" customWidth="1"/>
    <col min="27" max="27" width="2.7265625" style="3" customWidth="1"/>
    <col min="28" max="28" width="12.26953125" style="3" customWidth="1"/>
    <col min="29" max="29" width="38.81640625" style="3" customWidth="1"/>
    <col min="30" max="36" width="12.26953125" style="3" customWidth="1"/>
    <col min="37" max="37" width="11.7265625" style="3" bestFit="1" customWidth="1"/>
    <col min="38" max="38" width="11.7265625" style="3" customWidth="1"/>
    <col min="39" max="39" width="11.7265625" style="3" bestFit="1" customWidth="1"/>
    <col min="40" max="40" width="12.90625" style="3" bestFit="1" customWidth="1"/>
    <col min="41" max="16384" width="9.1796875" style="3"/>
  </cols>
  <sheetData>
    <row r="1" spans="1:40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40" ht="17.899999999999999" customHeight="1" x14ac:dyDescent="0.45">
      <c r="A2" s="2"/>
      <c r="B2" s="69" t="s">
        <v>75</v>
      </c>
      <c r="C2" s="70"/>
      <c r="D2" s="70"/>
      <c r="E2" s="70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40" x14ac:dyDescent="0.35">
      <c r="A3" s="2"/>
      <c r="B3" s="2" t="s">
        <v>1</v>
      </c>
      <c r="C3" s="2"/>
      <c r="D3" s="70"/>
      <c r="E3" s="70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40" x14ac:dyDescent="0.35">
      <c r="A4" s="2"/>
      <c r="B4" s="71"/>
      <c r="C4" s="2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2"/>
      <c r="V4" s="2"/>
      <c r="W4" s="2"/>
      <c r="X4" s="2"/>
      <c r="Y4" s="2"/>
    </row>
    <row r="5" spans="1:40" x14ac:dyDescent="0.35">
      <c r="A5" s="2"/>
      <c r="B5" s="72" t="s">
        <v>76</v>
      </c>
      <c r="C5" s="4"/>
      <c r="D5" s="4"/>
      <c r="E5" s="4"/>
      <c r="F5" s="6" t="s">
        <v>77</v>
      </c>
      <c r="G5" s="6"/>
      <c r="H5" s="6"/>
      <c r="I5" s="6"/>
      <c r="J5" s="6"/>
      <c r="K5" s="40"/>
      <c r="L5" s="8"/>
      <c r="M5" s="8"/>
      <c r="N5" s="8"/>
      <c r="O5" s="8"/>
      <c r="P5" s="8"/>
      <c r="Q5" s="8"/>
      <c r="R5" s="8"/>
      <c r="S5" s="8"/>
      <c r="T5" s="8"/>
      <c r="U5" s="5" t="s">
        <v>78</v>
      </c>
      <c r="V5" s="5" t="s">
        <v>78</v>
      </c>
      <c r="W5" s="6"/>
      <c r="X5" s="6"/>
      <c r="Y5" s="73"/>
      <c r="AC5" s="4" t="s">
        <v>218</v>
      </c>
      <c r="AD5" s="6" t="str">
        <f>TEXT(Company_Name,"")&amp;" - Range of Valuation Multiples / Premiums"</f>
        <v>Best Buy Co. - Range of Valuation Multiples / Premiums</v>
      </c>
      <c r="AE5" s="6"/>
      <c r="AF5" s="6"/>
      <c r="AG5" s="40"/>
      <c r="AH5" s="40"/>
      <c r="AI5" s="40"/>
      <c r="AJ5" s="6" t="str">
        <f>TEXT(Company_Name,"")&amp;" - Implied Per Share Value Range"</f>
        <v>Best Buy Co. - Implied Per Share Value Range</v>
      </c>
      <c r="AK5" s="40"/>
      <c r="AL5" s="40"/>
      <c r="AM5" s="40"/>
      <c r="AN5" s="40"/>
    </row>
    <row r="6" spans="1:40" x14ac:dyDescent="0.35">
      <c r="A6" s="2"/>
      <c r="B6" s="8"/>
      <c r="C6" s="8"/>
      <c r="D6" s="5" t="s">
        <v>79</v>
      </c>
      <c r="E6" s="5" t="s">
        <v>80</v>
      </c>
      <c r="F6" s="5" t="s">
        <v>81</v>
      </c>
      <c r="G6" s="5"/>
      <c r="H6" s="5"/>
      <c r="I6" s="5" t="s">
        <v>82</v>
      </c>
      <c r="J6" s="5" t="s">
        <v>83</v>
      </c>
      <c r="K6" s="5" t="s">
        <v>8</v>
      </c>
      <c r="L6" s="6" t="s">
        <v>15</v>
      </c>
      <c r="M6" s="6"/>
      <c r="N6" s="6"/>
      <c r="O6" s="6" t="s">
        <v>16</v>
      </c>
      <c r="P6" s="6"/>
      <c r="Q6" s="6"/>
      <c r="R6" s="6" t="s">
        <v>84</v>
      </c>
      <c r="S6" s="6"/>
      <c r="T6" s="6"/>
      <c r="U6" s="5" t="s">
        <v>15</v>
      </c>
      <c r="V6" s="5" t="s">
        <v>16</v>
      </c>
      <c r="W6" s="6" t="s">
        <v>85</v>
      </c>
      <c r="X6" s="6"/>
      <c r="Y6" s="6"/>
      <c r="AC6" s="8"/>
      <c r="AD6" s="5"/>
      <c r="AE6" s="6"/>
      <c r="AF6" s="6"/>
      <c r="AG6" s="40"/>
      <c r="AH6" s="6"/>
      <c r="AI6" s="6"/>
      <c r="AJ6" s="6"/>
      <c r="AK6" s="6"/>
      <c r="AL6" s="6"/>
      <c r="AM6" s="6"/>
      <c r="AN6" s="6"/>
    </row>
    <row r="7" spans="1:40" x14ac:dyDescent="0.35">
      <c r="A7" s="2"/>
      <c r="B7" s="41" t="s">
        <v>86</v>
      </c>
      <c r="C7" s="41" t="s">
        <v>87</v>
      </c>
      <c r="D7" s="9" t="s">
        <v>88</v>
      </c>
      <c r="E7" s="9" t="s">
        <v>89</v>
      </c>
      <c r="F7" s="9" t="s">
        <v>14</v>
      </c>
      <c r="G7" s="9" t="s">
        <v>90</v>
      </c>
      <c r="H7" s="9" t="s">
        <v>91</v>
      </c>
      <c r="I7" s="9" t="s">
        <v>92</v>
      </c>
      <c r="J7" s="9" t="s">
        <v>93</v>
      </c>
      <c r="K7" s="9" t="s">
        <v>14</v>
      </c>
      <c r="L7" s="74" t="s">
        <v>9</v>
      </c>
      <c r="M7" s="75">
        <f>EOMONTH("10/06/2025",12)</f>
        <v>46203</v>
      </c>
      <c r="N7" s="75">
        <f>EOMONTH(M7,12)</f>
        <v>46568</v>
      </c>
      <c r="O7" s="74" t="str">
        <f>$L$7</f>
        <v>LTM</v>
      </c>
      <c r="P7" s="75">
        <f>+$M$7</f>
        <v>46203</v>
      </c>
      <c r="Q7" s="75">
        <f>+$N$7</f>
        <v>46568</v>
      </c>
      <c r="R7" s="74" t="str">
        <f>$L$7</f>
        <v>LTM</v>
      </c>
      <c r="S7" s="75">
        <f>+$M$7</f>
        <v>46203</v>
      </c>
      <c r="T7" s="75">
        <f>+$N$7</f>
        <v>46568</v>
      </c>
      <c r="U7" s="9" t="s">
        <v>94</v>
      </c>
      <c r="V7" s="9" t="s">
        <v>94</v>
      </c>
      <c r="W7" s="74" t="str">
        <f>$L$7</f>
        <v>LTM</v>
      </c>
      <c r="X7" s="75">
        <f>+$M$7</f>
        <v>46203</v>
      </c>
      <c r="Y7" s="75">
        <f>+$N$7</f>
        <v>46568</v>
      </c>
      <c r="AC7" s="8"/>
      <c r="AD7" s="5"/>
      <c r="AE7" s="5" t="s">
        <v>48</v>
      </c>
      <c r="AF7" s="5"/>
      <c r="AG7" s="5" t="s">
        <v>49</v>
      </c>
      <c r="AH7" s="6"/>
      <c r="AI7" s="5" t="s">
        <v>50</v>
      </c>
      <c r="AJ7" s="5"/>
      <c r="AK7" s="5" t="s">
        <v>49</v>
      </c>
      <c r="AL7" s="5"/>
      <c r="AM7" s="5" t="s">
        <v>48</v>
      </c>
      <c r="AN7" s="5"/>
    </row>
    <row r="8" spans="1:40" x14ac:dyDescent="0.35">
      <c r="A8" s="2"/>
      <c r="B8" t="s">
        <v>95</v>
      </c>
      <c r="C8" t="s">
        <v>96</v>
      </c>
      <c r="D8" s="76">
        <v>65.900000000000006</v>
      </c>
      <c r="E8" s="77">
        <v>720</v>
      </c>
      <c r="F8" s="78">
        <f>+D8*E8</f>
        <v>47448.000000000007</v>
      </c>
      <c r="G8" s="79">
        <v>-3960</v>
      </c>
      <c r="H8" s="79">
        <v>25170</v>
      </c>
      <c r="I8" s="79">
        <v>0</v>
      </c>
      <c r="J8" s="79">
        <v>0</v>
      </c>
      <c r="K8" s="78">
        <f t="shared" ref="K8:K13" si="0">+F8+G8+H8+I8+J8</f>
        <v>68658</v>
      </c>
      <c r="L8" s="79">
        <v>147123</v>
      </c>
      <c r="M8" s="79">
        <v>148681</v>
      </c>
      <c r="N8" s="79">
        <v>152794</v>
      </c>
      <c r="O8" s="79">
        <v>7920</v>
      </c>
      <c r="P8" s="79">
        <v>8110</v>
      </c>
      <c r="Q8" s="79">
        <v>8490</v>
      </c>
      <c r="R8" s="79">
        <v>2665</v>
      </c>
      <c r="S8" s="79">
        <v>2989</v>
      </c>
      <c r="T8" s="79">
        <v>3251</v>
      </c>
      <c r="U8" s="80">
        <f t="shared" ref="U8:U13" si="1">IFERROR(+N8/M8-1,"N/A")</f>
        <v>2.7663252197658084E-2</v>
      </c>
      <c r="V8" s="80">
        <f t="shared" ref="V8:V13" si="2">IFERROR(+Q8/P8-1,"N/A")</f>
        <v>4.6855733662145571E-2</v>
      </c>
      <c r="W8" s="80">
        <f t="shared" ref="W8:Y13" si="3">O8/L8</f>
        <v>5.3832507493729739E-2</v>
      </c>
      <c r="X8" s="80">
        <f t="shared" si="3"/>
        <v>5.4546310557502302E-2</v>
      </c>
      <c r="Y8" s="80">
        <f t="shared" si="3"/>
        <v>5.5565009097215859E-2</v>
      </c>
      <c r="AC8" s="8"/>
      <c r="AD8" s="5" t="s">
        <v>43</v>
      </c>
      <c r="AE8" s="5" t="s">
        <v>51</v>
      </c>
      <c r="AF8" s="5" t="s">
        <v>45</v>
      </c>
      <c r="AG8" s="5" t="s">
        <v>51</v>
      </c>
      <c r="AH8" s="5" t="s">
        <v>47</v>
      </c>
      <c r="AI8" s="5" t="s">
        <v>52</v>
      </c>
      <c r="AJ8" s="5" t="s">
        <v>47</v>
      </c>
      <c r="AK8" s="5" t="s">
        <v>51</v>
      </c>
      <c r="AL8" s="5" t="s">
        <v>45</v>
      </c>
      <c r="AM8" s="5" t="s">
        <v>51</v>
      </c>
      <c r="AN8" s="5" t="s">
        <v>43</v>
      </c>
    </row>
    <row r="9" spans="1:40" x14ac:dyDescent="0.35">
      <c r="A9" s="2"/>
      <c r="B9" t="s">
        <v>41</v>
      </c>
      <c r="C9" s="81" t="s">
        <v>97</v>
      </c>
      <c r="D9" s="82">
        <v>85.63</v>
      </c>
      <c r="E9" s="77">
        <v>458</v>
      </c>
      <c r="F9" s="83">
        <f t="shared" ref="F9:F13" si="4">+D9*E9</f>
        <v>39218.54</v>
      </c>
      <c r="G9" s="77">
        <v>-4762</v>
      </c>
      <c r="H9" s="77">
        <v>19875</v>
      </c>
      <c r="I9" s="77">
        <v>0</v>
      </c>
      <c r="J9" s="77">
        <v>0</v>
      </c>
      <c r="K9" s="83">
        <f t="shared" si="0"/>
        <v>54331.54</v>
      </c>
      <c r="L9" s="77">
        <v>106566</v>
      </c>
      <c r="M9" s="77">
        <v>104953</v>
      </c>
      <c r="N9" s="77">
        <v>106882</v>
      </c>
      <c r="O9" s="77">
        <v>8653</v>
      </c>
      <c r="P9" s="77">
        <v>7883</v>
      </c>
      <c r="Q9" s="77">
        <v>8087</v>
      </c>
      <c r="R9" s="77">
        <v>4091</v>
      </c>
      <c r="S9" s="77">
        <v>3605</v>
      </c>
      <c r="T9" s="77">
        <v>3486</v>
      </c>
      <c r="U9" s="84">
        <f t="shared" si="1"/>
        <v>1.8379655655388571E-2</v>
      </c>
      <c r="V9" s="84">
        <f t="shared" si="2"/>
        <v>2.5878472662691943E-2</v>
      </c>
      <c r="W9" s="84">
        <f t="shared" si="3"/>
        <v>8.1198506090122552E-2</v>
      </c>
      <c r="X9" s="84">
        <f t="shared" si="3"/>
        <v>7.5109811058283238E-2</v>
      </c>
      <c r="Y9" s="84">
        <f t="shared" si="3"/>
        <v>7.5662880559869763E-2</v>
      </c>
      <c r="AB9" s="3" t="s">
        <v>98</v>
      </c>
      <c r="AC9" s="41"/>
      <c r="AD9" s="9" t="s">
        <v>53</v>
      </c>
      <c r="AE9" s="9" t="s">
        <v>53</v>
      </c>
      <c r="AF9" s="9" t="s">
        <v>53</v>
      </c>
      <c r="AG9" s="9" t="s">
        <v>53</v>
      </c>
      <c r="AH9" s="9" t="s">
        <v>53</v>
      </c>
      <c r="AI9" s="9" t="s">
        <v>54</v>
      </c>
      <c r="AJ9" s="9" t="s">
        <v>53</v>
      </c>
      <c r="AK9" s="9" t="s">
        <v>53</v>
      </c>
      <c r="AL9" s="9" t="s">
        <v>53</v>
      </c>
      <c r="AM9" s="9" t="s">
        <v>53</v>
      </c>
      <c r="AN9" s="9" t="s">
        <v>53</v>
      </c>
    </row>
    <row r="10" spans="1:40" x14ac:dyDescent="0.35">
      <c r="A10" s="2"/>
      <c r="B10" t="s">
        <v>99</v>
      </c>
      <c r="C10" t="s">
        <v>100</v>
      </c>
      <c r="D10" s="82">
        <v>90.86</v>
      </c>
      <c r="E10" s="77">
        <v>132.93</v>
      </c>
      <c r="F10" s="83">
        <f t="shared" si="4"/>
        <v>12078.0198</v>
      </c>
      <c r="G10" s="77">
        <v>-28.271999999999998</v>
      </c>
      <c r="H10" s="77">
        <v>2843.9160000000002</v>
      </c>
      <c r="I10" s="77">
        <v>0</v>
      </c>
      <c r="J10" s="77">
        <v>0</v>
      </c>
      <c r="K10" s="83">
        <f t="shared" si="0"/>
        <v>14893.663799999998</v>
      </c>
      <c r="L10" s="77">
        <v>20502</v>
      </c>
      <c r="M10" s="77">
        <v>21448</v>
      </c>
      <c r="N10" s="77">
        <v>22855</v>
      </c>
      <c r="O10" s="77">
        <v>1155</v>
      </c>
      <c r="P10" s="77">
        <v>1268</v>
      </c>
      <c r="Q10" s="77">
        <v>1334</v>
      </c>
      <c r="R10" s="77">
        <v>572.20000000000005</v>
      </c>
      <c r="S10" s="77">
        <v>622.20000000000005</v>
      </c>
      <c r="T10" s="77">
        <v>673.3</v>
      </c>
      <c r="U10" s="84">
        <f>IFERROR(+N10/M10-1,"N/A")</f>
        <v>6.5600522193211441E-2</v>
      </c>
      <c r="V10" s="84">
        <f>IFERROR(+Q10/P10-1,"N/A")</f>
        <v>5.2050473186119772E-2</v>
      </c>
      <c r="W10" s="84">
        <f t="shared" si="3"/>
        <v>5.6335967222709976E-2</v>
      </c>
      <c r="X10" s="84">
        <f t="shared" si="3"/>
        <v>5.9119731443491232E-2</v>
      </c>
      <c r="Y10" s="84">
        <f t="shared" si="3"/>
        <v>5.8367971997374757E-2</v>
      </c>
    </row>
    <row r="11" spans="1:40" x14ac:dyDescent="0.35">
      <c r="A11" s="2"/>
      <c r="B11" t="s">
        <v>101</v>
      </c>
      <c r="C11" s="81" t="s">
        <v>102</v>
      </c>
      <c r="D11" s="82">
        <v>145.76</v>
      </c>
      <c r="E11" s="77">
        <v>1134.5</v>
      </c>
      <c r="F11" s="83">
        <f t="shared" si="4"/>
        <v>165364.72</v>
      </c>
      <c r="G11" s="77">
        <v>-5335</v>
      </c>
      <c r="H11" s="77">
        <v>12778</v>
      </c>
      <c r="I11" s="77">
        <v>0</v>
      </c>
      <c r="J11" s="77">
        <v>0</v>
      </c>
      <c r="K11" s="83">
        <f t="shared" si="0"/>
        <v>172807.72</v>
      </c>
      <c r="L11" s="77">
        <v>56360</v>
      </c>
      <c r="M11" s="77">
        <v>59940</v>
      </c>
      <c r="N11" s="77">
        <v>63321</v>
      </c>
      <c r="O11" s="77">
        <v>7406</v>
      </c>
      <c r="P11" s="77">
        <v>8076</v>
      </c>
      <c r="Q11" s="77">
        <v>8808</v>
      </c>
      <c r="R11" s="77">
        <v>4864</v>
      </c>
      <c r="S11" s="77">
        <v>5258</v>
      </c>
      <c r="T11" s="77">
        <v>5709</v>
      </c>
      <c r="U11" s="84">
        <f t="shared" si="1"/>
        <v>5.6406406406406484E-2</v>
      </c>
      <c r="V11" s="84">
        <f t="shared" si="2"/>
        <v>9.0638930163447151E-2</v>
      </c>
      <c r="W11" s="84">
        <f t="shared" si="3"/>
        <v>0.13140525195173883</v>
      </c>
      <c r="X11" s="84">
        <f t="shared" si="3"/>
        <v>0.13473473473473474</v>
      </c>
      <c r="Y11" s="84">
        <f t="shared" si="3"/>
        <v>0.13910077225564979</v>
      </c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</row>
    <row r="12" spans="1:40" x14ac:dyDescent="0.35">
      <c r="A12" s="2"/>
      <c r="B12" s="85" t="s">
        <v>103</v>
      </c>
      <c r="C12" s="81" t="s">
        <v>104</v>
      </c>
      <c r="D12" s="82">
        <v>885.98</v>
      </c>
      <c r="E12" s="77">
        <v>44.802999999999997</v>
      </c>
      <c r="F12" s="83">
        <f t="shared" si="4"/>
        <v>39694.56194</v>
      </c>
      <c r="G12" s="77">
        <v>-15284</v>
      </c>
      <c r="H12" s="77">
        <v>8173</v>
      </c>
      <c r="I12" s="77">
        <v>0</v>
      </c>
      <c r="J12" s="77">
        <v>0</v>
      </c>
      <c r="K12" s="83">
        <f t="shared" si="0"/>
        <v>32583.56194</v>
      </c>
      <c r="L12" s="77">
        <v>275235</v>
      </c>
      <c r="M12" s="77">
        <v>296834</v>
      </c>
      <c r="N12" s="77">
        <v>319063</v>
      </c>
      <c r="O12" s="77">
        <v>12809</v>
      </c>
      <c r="P12" s="77">
        <v>14231</v>
      </c>
      <c r="Q12" s="77">
        <v>15679</v>
      </c>
      <c r="R12" s="77">
        <v>8099</v>
      </c>
      <c r="S12" s="77">
        <v>8922</v>
      </c>
      <c r="T12" s="77">
        <v>9839</v>
      </c>
      <c r="U12" s="84">
        <f t="shared" si="1"/>
        <v>7.4886973864179973E-2</v>
      </c>
      <c r="V12" s="84">
        <f t="shared" si="2"/>
        <v>0.10174970135619432</v>
      </c>
      <c r="W12" s="84">
        <f t="shared" si="3"/>
        <v>4.653841262920777E-2</v>
      </c>
      <c r="X12" s="84">
        <f t="shared" si="3"/>
        <v>4.7942621128307404E-2</v>
      </c>
      <c r="Y12" s="84">
        <f t="shared" si="3"/>
        <v>4.9140765303404027E-2</v>
      </c>
      <c r="AC12" s="43" t="s">
        <v>55</v>
      </c>
      <c r="AD12" s="44" cm="1">
        <f t="array" ref="AD12:AH20">TRANSPOSE(L33:T37)</f>
        <v>3.0661412349183816</v>
      </c>
      <c r="AE12" s="44">
        <v>1.6771702141472526</v>
      </c>
      <c r="AF12" s="44">
        <v>0.61814433032362825</v>
      </c>
      <c r="AG12" s="44">
        <v>0.47746289576145812</v>
      </c>
      <c r="AH12" s="44">
        <v>0.11838451483277926</v>
      </c>
      <c r="AI12" s="45" cm="1">
        <f t="array" ref="AI12:AI20">TRANSPOSE(L21:T21)</f>
        <v>41528</v>
      </c>
      <c r="AJ12" s="47">
        <f>(AJ24+SUM($AF$23:$AF$29))/$AF$32</f>
        <v>10.683691852422385</v>
      </c>
      <c r="AK12" s="47">
        <f t="shared" ref="AK12:AN12" si="5">(AK24+SUM($AF$23:$AF$29))/$AF$32</f>
        <v>79.401696475492315</v>
      </c>
      <c r="AL12" s="47">
        <f t="shared" si="5"/>
        <v>106.32436290174947</v>
      </c>
      <c r="AM12" s="47">
        <f t="shared" si="5"/>
        <v>308.99361130464104</v>
      </c>
      <c r="AN12" s="47">
        <f t="shared" si="5"/>
        <v>574.80554010917297</v>
      </c>
    </row>
    <row r="13" spans="1:40" x14ac:dyDescent="0.35">
      <c r="A13" s="2"/>
      <c r="B13" s="85" t="s">
        <v>105</v>
      </c>
      <c r="C13" s="81" t="s">
        <v>106</v>
      </c>
      <c r="D13" s="82">
        <v>229.44</v>
      </c>
      <c r="E13" s="77">
        <v>561.95699999999999</v>
      </c>
      <c r="F13" s="83">
        <f t="shared" si="4"/>
        <v>128935.41408</v>
      </c>
      <c r="G13" s="77">
        <v>-1761</v>
      </c>
      <c r="H13" s="77">
        <v>39678</v>
      </c>
      <c r="I13" s="77">
        <v>0</v>
      </c>
      <c r="J13" s="77">
        <v>0</v>
      </c>
      <c r="K13" s="83">
        <f t="shared" si="0"/>
        <v>166852.41408000002</v>
      </c>
      <c r="L13" s="77">
        <v>83674</v>
      </c>
      <c r="M13" s="77">
        <v>85934</v>
      </c>
      <c r="N13" s="77">
        <v>92907</v>
      </c>
      <c r="O13" s="77">
        <v>12261</v>
      </c>
      <c r="P13" s="77">
        <v>12369</v>
      </c>
      <c r="Q13" s="77">
        <v>13231</v>
      </c>
      <c r="R13" s="77">
        <v>6957</v>
      </c>
      <c r="S13" s="77">
        <v>6777</v>
      </c>
      <c r="T13" s="77">
        <v>7415</v>
      </c>
      <c r="U13" s="84">
        <f t="shared" si="1"/>
        <v>8.1143668396676416E-2</v>
      </c>
      <c r="V13" s="84">
        <f t="shared" si="2"/>
        <v>6.9690354919556885E-2</v>
      </c>
      <c r="W13" s="84">
        <f t="shared" si="3"/>
        <v>0.14653297320553577</v>
      </c>
      <c r="X13" s="84">
        <f t="shared" si="3"/>
        <v>0.14393604394069867</v>
      </c>
      <c r="Y13" s="84">
        <f t="shared" si="3"/>
        <v>0.14241122843273382</v>
      </c>
      <c r="AC13" s="43" t="str">
        <f>"CY "&amp;TEXT(EOMONTH(Hist_Year,12),"AA")&amp;" TEV / Revenue:"</f>
        <v>CY 26 TEV / Revenue:</v>
      </c>
      <c r="AD13" s="44">
        <v>2.8830116783450115</v>
      </c>
      <c r="AE13" s="44">
        <v>1.629827842829167</v>
      </c>
      <c r="AF13" s="44">
        <v>0.60604150331893281</v>
      </c>
      <c r="AG13" s="44">
        <v>0.47575418281227672</v>
      </c>
      <c r="AH13" s="44">
        <v>0.10977031586678075</v>
      </c>
      <c r="AI13" s="46">
        <v>41797</v>
      </c>
      <c r="AJ13" s="47">
        <f t="shared" ref="AJ13:AN20" si="6">(AJ25+SUM($AF$23:$AF$29))/$AF$32</f>
        <v>9.1712391349485465</v>
      </c>
      <c r="AK13" s="47">
        <f t="shared" si="6"/>
        <v>79.664454281127789</v>
      </c>
      <c r="AL13" s="47">
        <f t="shared" si="6"/>
        <v>104.75947333742597</v>
      </c>
      <c r="AM13" s="47">
        <f t="shared" si="6"/>
        <v>301.95393247341337</v>
      </c>
      <c r="AN13" s="47">
        <f t="shared" si="6"/>
        <v>543.33330930777174</v>
      </c>
    </row>
    <row r="14" spans="1:40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AC14" s="43" t="str">
        <f>"CY "&amp;TEXT(EOMONTH(Hist_Year,24),"AA")&amp;" TEV / Revenue:"</f>
        <v>CY 27 TEV / Revenue:</v>
      </c>
      <c r="AD14" s="44">
        <v>2.7290743986986938</v>
      </c>
      <c r="AE14" s="44">
        <v>1.5098456364991608</v>
      </c>
      <c r="AF14" s="44">
        <v>0.57999543828048195</v>
      </c>
      <c r="AG14" s="44">
        <v>0.46409557710061317</v>
      </c>
      <c r="AH14" s="44">
        <v>0.1021226589733062</v>
      </c>
      <c r="AI14" s="46">
        <v>42451</v>
      </c>
      <c r="AJ14" s="47">
        <f t="shared" si="6"/>
        <v>8.0059815487365071</v>
      </c>
      <c r="AK14" s="47">
        <f t="shared" si="6"/>
        <v>78.817559186627321</v>
      </c>
      <c r="AL14" s="47">
        <f t="shared" si="6"/>
        <v>101.4906698177177</v>
      </c>
      <c r="AM14" s="47">
        <f t="shared" si="6"/>
        <v>283.39422172822987</v>
      </c>
      <c r="AN14" s="47">
        <f t="shared" si="6"/>
        <v>521.90795529566014</v>
      </c>
    </row>
    <row r="15" spans="1:40" x14ac:dyDescent="0.35">
      <c r="A15" s="2"/>
      <c r="B15" s="18" t="s">
        <v>43</v>
      </c>
      <c r="C15" s="86"/>
      <c r="D15" s="87">
        <f>MAX(D8:D13)</f>
        <v>885.98</v>
      </c>
      <c r="E15" s="87"/>
      <c r="F15" s="20">
        <f>MAX(F8:F13)</f>
        <v>165364.72</v>
      </c>
      <c r="G15" s="20"/>
      <c r="H15" s="20"/>
      <c r="I15" s="20"/>
      <c r="J15" s="20"/>
      <c r="K15" s="20">
        <f t="shared" ref="K15:Y15" si="7">MAX(K8:K13)</f>
        <v>172807.72</v>
      </c>
      <c r="L15" s="20">
        <f t="shared" si="7"/>
        <v>275235</v>
      </c>
      <c r="M15" s="20">
        <f t="shared" si="7"/>
        <v>296834</v>
      </c>
      <c r="N15" s="20">
        <f t="shared" si="7"/>
        <v>319063</v>
      </c>
      <c r="O15" s="20">
        <f t="shared" si="7"/>
        <v>12809</v>
      </c>
      <c r="P15" s="20">
        <f t="shared" si="7"/>
        <v>14231</v>
      </c>
      <c r="Q15" s="20">
        <f t="shared" si="7"/>
        <v>15679</v>
      </c>
      <c r="R15" s="20">
        <f t="shared" si="7"/>
        <v>8099</v>
      </c>
      <c r="S15" s="20">
        <f t="shared" si="7"/>
        <v>8922</v>
      </c>
      <c r="T15" s="20">
        <f t="shared" si="7"/>
        <v>9839</v>
      </c>
      <c r="U15" s="88">
        <f t="shared" si="7"/>
        <v>8.1143668396676416E-2</v>
      </c>
      <c r="V15" s="88">
        <f t="shared" si="7"/>
        <v>0.10174970135619432</v>
      </c>
      <c r="W15" s="88">
        <f t="shared" si="7"/>
        <v>0.14653297320553577</v>
      </c>
      <c r="X15" s="88">
        <f t="shared" si="7"/>
        <v>0.14393604394069867</v>
      </c>
      <c r="Y15" s="89">
        <f t="shared" si="7"/>
        <v>0.14241122843273382</v>
      </c>
      <c r="AC15" s="43" t="s">
        <v>56</v>
      </c>
      <c r="AD15" s="44">
        <v>23.333475560356469</v>
      </c>
      <c r="AE15" s="44">
        <v>13.430025845490453</v>
      </c>
      <c r="AF15" s="44">
        <v>10.781943203463204</v>
      </c>
      <c r="AG15" s="44">
        <v>6.8764287696682533</v>
      </c>
      <c r="AH15" s="44">
        <v>2.5438021656647671</v>
      </c>
      <c r="AI15" s="46">
        <v>2621</v>
      </c>
      <c r="AJ15" s="47">
        <f t="shared" si="6"/>
        <v>18.75296993643942</v>
      </c>
      <c r="AK15" s="47">
        <f t="shared" si="6"/>
        <v>71.083911545163559</v>
      </c>
      <c r="AL15" s="47">
        <f t="shared" si="6"/>
        <v>118.25604671095418</v>
      </c>
      <c r="AM15" s="47">
        <f t="shared" si="6"/>
        <v>150.24049189414967</v>
      </c>
      <c r="AN15" s="47">
        <f t="shared" si="6"/>
        <v>269.8577347635682</v>
      </c>
    </row>
    <row r="16" spans="1:40" x14ac:dyDescent="0.35">
      <c r="A16" s="2"/>
      <c r="B16" s="23" t="s">
        <v>44</v>
      </c>
      <c r="C16" s="2"/>
      <c r="D16" s="90">
        <f>QUARTILE(D8:D13,3)</f>
        <v>208.51999999999998</v>
      </c>
      <c r="E16" s="90"/>
      <c r="F16" s="25">
        <f>QUARTILE(F8:F13,3)</f>
        <v>108563.56056</v>
      </c>
      <c r="G16" s="25"/>
      <c r="H16" s="25"/>
      <c r="I16" s="25"/>
      <c r="J16" s="25"/>
      <c r="K16" s="25">
        <f t="shared" ref="K16:Y16" si="8">QUARTILE(K8:K13,3)</f>
        <v>142303.81056000001</v>
      </c>
      <c r="L16" s="25">
        <f t="shared" si="8"/>
        <v>136983.75</v>
      </c>
      <c r="M16" s="25">
        <f>QUARTILE(M8:M13,3)</f>
        <v>137749</v>
      </c>
      <c r="N16" s="25">
        <f t="shared" si="8"/>
        <v>141316</v>
      </c>
      <c r="O16" s="25">
        <f t="shared" si="8"/>
        <v>11359</v>
      </c>
      <c r="P16" s="25">
        <f t="shared" si="8"/>
        <v>11304.25</v>
      </c>
      <c r="Q16" s="25">
        <f t="shared" si="8"/>
        <v>12125.25</v>
      </c>
      <c r="R16" s="25">
        <f t="shared" si="8"/>
        <v>6433.75</v>
      </c>
      <c r="S16" s="25">
        <f t="shared" si="8"/>
        <v>6397.25</v>
      </c>
      <c r="T16" s="25">
        <f t="shared" si="8"/>
        <v>6988.5</v>
      </c>
      <c r="U16" s="84">
        <f t="shared" si="8"/>
        <v>7.256536094643784E-2</v>
      </c>
      <c r="V16" s="84">
        <f t="shared" si="8"/>
        <v>8.5401786352474585E-2</v>
      </c>
      <c r="W16" s="84">
        <f t="shared" si="8"/>
        <v>0.11885356548633476</v>
      </c>
      <c r="X16" s="84">
        <f t="shared" si="8"/>
        <v>0.11982850381562186</v>
      </c>
      <c r="Y16" s="91">
        <f t="shared" si="8"/>
        <v>0.12324129933170479</v>
      </c>
      <c r="AC16" s="43" t="str">
        <f>"CY "&amp;TEXT(EOMONTH(Hist_Year,12),"AA")&amp;" TEV / EBITDA:"</f>
        <v>CY 26 TEV / EBITDA:</v>
      </c>
      <c r="AD16" s="44">
        <v>21.39768697374938</v>
      </c>
      <c r="AE16" s="44">
        <v>13.053620726005382</v>
      </c>
      <c r="AF16" s="44">
        <v>10.105818138315044</v>
      </c>
      <c r="AG16" s="44">
        <v>7.285642308371524</v>
      </c>
      <c r="AH16" s="44">
        <v>2.2896185749420281</v>
      </c>
      <c r="AI16" s="46">
        <v>2606</v>
      </c>
      <c r="AJ16" s="47">
        <f t="shared" si="6"/>
        <v>15.524585282483528</v>
      </c>
      <c r="AK16" s="47">
        <f t="shared" si="6"/>
        <v>75.52291638532806</v>
      </c>
      <c r="AL16" s="47">
        <f t="shared" si="6"/>
        <v>109.39101874861292</v>
      </c>
      <c r="AM16" s="47">
        <f t="shared" si="6"/>
        <v>144.79181848834114</v>
      </c>
      <c r="AN16" s="47">
        <f t="shared" si="6"/>
        <v>244.99751729765384</v>
      </c>
    </row>
    <row r="17" spans="1:40" x14ac:dyDescent="0.35">
      <c r="A17" s="2"/>
      <c r="B17" s="27" t="s">
        <v>45</v>
      </c>
      <c r="C17" s="92"/>
      <c r="D17" s="93">
        <f>MEDIAN(D8:D13)</f>
        <v>118.31</v>
      </c>
      <c r="E17" s="93"/>
      <c r="F17" s="94">
        <f>MEDIAN(F8:F13)</f>
        <v>43571.280970000007</v>
      </c>
      <c r="G17" s="94"/>
      <c r="H17" s="94"/>
      <c r="I17" s="94"/>
      <c r="J17" s="94"/>
      <c r="K17" s="94">
        <f>MEDIAN(K8:K13)</f>
        <v>61494.770000000004</v>
      </c>
      <c r="L17" s="94">
        <f t="shared" ref="L17:Y17" si="9">MEDIAN(L8:L13)</f>
        <v>95120</v>
      </c>
      <c r="M17" s="94">
        <f t="shared" si="9"/>
        <v>95443.5</v>
      </c>
      <c r="N17" s="94">
        <f t="shared" si="9"/>
        <v>99894.5</v>
      </c>
      <c r="O17" s="94">
        <f t="shared" si="9"/>
        <v>8286.5</v>
      </c>
      <c r="P17" s="94">
        <f t="shared" si="9"/>
        <v>8093</v>
      </c>
      <c r="Q17" s="94">
        <f t="shared" si="9"/>
        <v>8649</v>
      </c>
      <c r="R17" s="94">
        <f t="shared" si="9"/>
        <v>4477.5</v>
      </c>
      <c r="S17" s="94">
        <f t="shared" si="9"/>
        <v>4431.5</v>
      </c>
      <c r="T17" s="94">
        <f t="shared" si="9"/>
        <v>4597.5</v>
      </c>
      <c r="U17" s="95">
        <f t="shared" si="9"/>
        <v>6.1003464299808963E-2</v>
      </c>
      <c r="V17" s="95">
        <f t="shared" si="9"/>
        <v>6.0870414052838329E-2</v>
      </c>
      <c r="W17" s="95">
        <f t="shared" si="9"/>
        <v>6.8767236656416264E-2</v>
      </c>
      <c r="X17" s="95">
        <f t="shared" si="9"/>
        <v>6.7114771250887231E-2</v>
      </c>
      <c r="Y17" s="96">
        <f t="shared" si="9"/>
        <v>6.7015426278622253E-2</v>
      </c>
      <c r="AC17" s="43" t="str">
        <f>"CY "&amp;TEXT(EOMONTH(Hist_Year,24),"AA")&amp;" TEV / EBITDA:"</f>
        <v>CY 27 TEV / EBITDA:</v>
      </c>
      <c r="AD17" s="44">
        <v>19.619405086285195</v>
      </c>
      <c r="AE17" s="44">
        <v>12.249205118634659</v>
      </c>
      <c r="AF17" s="44">
        <v>9.62579565614719</v>
      </c>
      <c r="AG17" s="44">
        <v>7.0605165359402022</v>
      </c>
      <c r="AH17" s="44">
        <v>2.0781658230754512</v>
      </c>
      <c r="AI17" s="46">
        <v>2692</v>
      </c>
      <c r="AJ17" s="47">
        <f t="shared" si="6"/>
        <v>13.808808275203292</v>
      </c>
      <c r="AK17" s="47">
        <f t="shared" si="6"/>
        <v>75.617509284566935</v>
      </c>
      <c r="AL17" s="47">
        <f t="shared" si="6"/>
        <v>107.44115625045269</v>
      </c>
      <c r="AM17" s="47">
        <f t="shared" si="6"/>
        <v>139.98594091873042</v>
      </c>
      <c r="AN17" s="47">
        <f t="shared" si="6"/>
        <v>231.41717738377764</v>
      </c>
    </row>
    <row r="18" spans="1:40" x14ac:dyDescent="0.35">
      <c r="A18" s="2"/>
      <c r="B18" s="23" t="s">
        <v>46</v>
      </c>
      <c r="C18" s="70"/>
      <c r="D18" s="90">
        <f>QUARTILE(D8:D13,1)</f>
        <v>86.9375</v>
      </c>
      <c r="E18" s="90"/>
      <c r="F18" s="25">
        <f>QUARTILE(F8:F13,1)</f>
        <v>39337.545485000002</v>
      </c>
      <c r="G18" s="25"/>
      <c r="H18" s="25"/>
      <c r="I18" s="25"/>
      <c r="J18" s="25"/>
      <c r="K18" s="25">
        <f t="shared" ref="K18:Y18" si="10">QUARTILE(K8:K13,1)</f>
        <v>38020.556454999998</v>
      </c>
      <c r="L18" s="25">
        <f t="shared" si="10"/>
        <v>63188.5</v>
      </c>
      <c r="M18" s="25">
        <f>QUARTILE(M8:M13,1)</f>
        <v>66438.5</v>
      </c>
      <c r="N18" s="25">
        <f t="shared" si="10"/>
        <v>70717.5</v>
      </c>
      <c r="O18" s="25">
        <f t="shared" si="10"/>
        <v>7534.5</v>
      </c>
      <c r="P18" s="25">
        <f t="shared" si="10"/>
        <v>7931.25</v>
      </c>
      <c r="Q18" s="25">
        <f t="shared" si="10"/>
        <v>8187.75</v>
      </c>
      <c r="R18" s="25">
        <f t="shared" si="10"/>
        <v>3021.5</v>
      </c>
      <c r="S18" s="25">
        <f t="shared" si="10"/>
        <v>3143</v>
      </c>
      <c r="T18" s="25">
        <f t="shared" si="10"/>
        <v>3309.75</v>
      </c>
      <c r="U18" s="84">
        <f t="shared" si="10"/>
        <v>3.4849040749845184E-2</v>
      </c>
      <c r="V18" s="84">
        <f>QUARTILE(V8:V13,1)</f>
        <v>4.8154418543139121E-2</v>
      </c>
      <c r="W18" s="84">
        <f t="shared" si="10"/>
        <v>5.4458372425974802E-2</v>
      </c>
      <c r="X18" s="84">
        <f t="shared" si="10"/>
        <v>5.5689665778999531E-2</v>
      </c>
      <c r="Y18" s="91">
        <f t="shared" si="10"/>
        <v>5.6265749822255587E-2</v>
      </c>
      <c r="AC18" s="43" t="s">
        <v>57</v>
      </c>
      <c r="AD18" s="44">
        <v>33.997680921052634</v>
      </c>
      <c r="AE18" s="44">
        <v>20.464327002486485</v>
      </c>
      <c r="AF18" s="44">
        <v>18.168659598406833</v>
      </c>
      <c r="AG18" s="44">
        <v>11.640937785914536</v>
      </c>
      <c r="AH18" s="44">
        <v>4.901168284973453</v>
      </c>
      <c r="AI18" s="46">
        <v>927</v>
      </c>
      <c r="AJ18" s="47">
        <f t="shared" si="6"/>
        <v>8.9653087565455802</v>
      </c>
      <c r="AK18" s="47">
        <f t="shared" si="6"/>
        <v>37.75685865227085</v>
      </c>
      <c r="AL18" s="47">
        <f t="shared" si="6"/>
        <v>65.642564275221829</v>
      </c>
      <c r="AM18" s="47">
        <f t="shared" si="6"/>
        <v>75.449401526751032</v>
      </c>
      <c r="AN18" s="47">
        <f t="shared" si="6"/>
        <v>133.26239269039536</v>
      </c>
    </row>
    <row r="19" spans="1:40" x14ac:dyDescent="0.35">
      <c r="A19" s="2"/>
      <c r="B19" s="32" t="s">
        <v>47</v>
      </c>
      <c r="C19" s="97"/>
      <c r="D19" s="98">
        <f>MIN(D8:D13)</f>
        <v>65.900000000000006</v>
      </c>
      <c r="E19" s="98"/>
      <c r="F19" s="34">
        <f>MIN(F8:F13)</f>
        <v>12078.0198</v>
      </c>
      <c r="G19" s="34"/>
      <c r="H19" s="34"/>
      <c r="I19" s="34"/>
      <c r="J19" s="34"/>
      <c r="K19" s="34">
        <f t="shared" ref="K19:Y19" si="11">MIN(K8:K13)</f>
        <v>14893.663799999998</v>
      </c>
      <c r="L19" s="34">
        <f t="shared" si="11"/>
        <v>20502</v>
      </c>
      <c r="M19" s="34">
        <f t="shared" si="11"/>
        <v>21448</v>
      </c>
      <c r="N19" s="34">
        <f t="shared" si="11"/>
        <v>22855</v>
      </c>
      <c r="O19" s="34">
        <f t="shared" si="11"/>
        <v>1155</v>
      </c>
      <c r="P19" s="34">
        <f t="shared" si="11"/>
        <v>1268</v>
      </c>
      <c r="Q19" s="34">
        <f t="shared" si="11"/>
        <v>1334</v>
      </c>
      <c r="R19" s="34">
        <f t="shared" si="11"/>
        <v>572.20000000000005</v>
      </c>
      <c r="S19" s="34">
        <f t="shared" si="11"/>
        <v>622.20000000000005</v>
      </c>
      <c r="T19" s="34">
        <f t="shared" si="11"/>
        <v>673.3</v>
      </c>
      <c r="U19" s="99">
        <f t="shared" si="11"/>
        <v>1.8379655655388571E-2</v>
      </c>
      <c r="V19" s="99">
        <f t="shared" si="11"/>
        <v>2.5878472662691943E-2</v>
      </c>
      <c r="W19" s="99">
        <f t="shared" si="11"/>
        <v>4.653841262920777E-2</v>
      </c>
      <c r="X19" s="99">
        <f t="shared" si="11"/>
        <v>4.7942621128307404E-2</v>
      </c>
      <c r="Y19" s="100">
        <f t="shared" si="11"/>
        <v>4.9140765303404027E-2</v>
      </c>
      <c r="AC19" s="43" t="str">
        <f>"CY "&amp;TEXT(EOMONTH(Hist_Year,12),"AA")&amp;" P / E:"</f>
        <v>CY 26 P / E:</v>
      </c>
      <c r="AD19" s="44">
        <v>31.450117915557247</v>
      </c>
      <c r="AE19" s="44">
        <v>19.31520766193983</v>
      </c>
      <c r="AF19" s="44">
        <v>17.449823241144934</v>
      </c>
      <c r="AG19" s="44">
        <v>12.127748303650604</v>
      </c>
      <c r="AH19" s="44">
        <v>4.4490654494507957</v>
      </c>
      <c r="AI19" s="46">
        <v>1204</v>
      </c>
      <c r="AJ19" s="47">
        <f t="shared" si="6"/>
        <v>12.713197240270775</v>
      </c>
      <c r="AK19" s="47">
        <f t="shared" si="6"/>
        <v>55.317502108734224</v>
      </c>
      <c r="AL19" s="47">
        <f t="shared" si="6"/>
        <v>84.846434019993083</v>
      </c>
      <c r="AM19" s="47">
        <f t="shared" si="6"/>
        <v>95.196308870855091</v>
      </c>
      <c r="AN19" s="47">
        <f t="shared" si="6"/>
        <v>162.52548834253884</v>
      </c>
    </row>
    <row r="20" spans="1:40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AC20" s="43" t="str">
        <f>"CY "&amp;TEXT(EOMONTH(Hist_Year,24),"AA")&amp;" P / E:"</f>
        <v>CY 27 P / E:</v>
      </c>
      <c r="AD20" s="44">
        <v>28.965619197757928</v>
      </c>
      <c r="AE20" s="44">
        <v>17.801020344089995</v>
      </c>
      <c r="AF20" s="44">
        <v>15.991675805215804</v>
      </c>
      <c r="AG20" s="44">
        <v>12.086447221853094</v>
      </c>
      <c r="AH20" s="44">
        <v>4.0344101981908729</v>
      </c>
      <c r="AI20" s="46">
        <v>1364</v>
      </c>
      <c r="AJ20" s="47">
        <f t="shared" si="6"/>
        <v>13.387209725033873</v>
      </c>
      <c r="AK20" s="47">
        <f t="shared" si="6"/>
        <v>64.000013873767827</v>
      </c>
      <c r="AL20" s="47">
        <f t="shared" si="6"/>
        <v>88.547164969190575</v>
      </c>
      <c r="AM20" s="47">
        <f t="shared" si="6"/>
        <v>99.920187784971219</v>
      </c>
      <c r="AN20" s="47">
        <f t="shared" si="6"/>
        <v>170.09766629374107</v>
      </c>
    </row>
    <row r="21" spans="1:40" x14ac:dyDescent="0.35">
      <c r="A21" s="2"/>
      <c r="B21" s="101" t="s">
        <v>107</v>
      </c>
      <c r="C21" s="102" t="s">
        <v>108</v>
      </c>
      <c r="D21" s="103">
        <v>74.290000000000006</v>
      </c>
      <c r="E21" s="104">
        <f>Diluted_Shares</f>
        <v>217</v>
      </c>
      <c r="F21" s="105">
        <f>+D21*E21</f>
        <v>16120.930000000002</v>
      </c>
      <c r="G21" s="105">
        <f>-[2]ValSum!E23-[2]ValSum!E24-[2]ValSum!E25-[2]ValSum!E26</f>
        <v>-1447</v>
      </c>
      <c r="H21" s="105">
        <f>-[2]ValSum!E27</f>
        <v>4070</v>
      </c>
      <c r="I21" s="105">
        <f>-[2]ValSum!E28</f>
        <v>0</v>
      </c>
      <c r="J21" s="105">
        <f>-[2]ValSum!E29-[2]ValSum!E30-[2]ValSum!E31-[2]ValSum!E32</f>
        <v>0</v>
      </c>
      <c r="K21" s="105">
        <f>+F21+G21+H21+I21+J21</f>
        <v>18743.93</v>
      </c>
      <c r="L21" s="105">
        <v>41528</v>
      </c>
      <c r="M21" s="105">
        <v>41797</v>
      </c>
      <c r="N21" s="105">
        <v>42451</v>
      </c>
      <c r="O21" s="105">
        <v>2621</v>
      </c>
      <c r="P21" s="105">
        <v>2606</v>
      </c>
      <c r="Q21" s="105">
        <v>2692</v>
      </c>
      <c r="R21" s="105">
        <v>927</v>
      </c>
      <c r="S21" s="105">
        <v>1204</v>
      </c>
      <c r="T21" s="105">
        <v>1364</v>
      </c>
      <c r="U21" s="106">
        <f>IFERROR(+N21/M21-1,"N/A")</f>
        <v>1.564705600880445E-2</v>
      </c>
      <c r="V21" s="106">
        <f>IFERROR(+Q21/P21-1,"N/A")</f>
        <v>3.3000767459708369E-2</v>
      </c>
      <c r="W21" s="106">
        <f>O21/L21</f>
        <v>6.3114043536890777E-2</v>
      </c>
      <c r="X21" s="106">
        <f>P21/M21</f>
        <v>6.2348972414288106E-2</v>
      </c>
      <c r="Y21" s="106">
        <f>Q21/N21</f>
        <v>6.3414289416032596E-2</v>
      </c>
      <c r="AN21" s="2"/>
    </row>
    <row r="22" spans="1:40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AC22" s="49" t="s">
        <v>112</v>
      </c>
      <c r="AD22" s="50"/>
      <c r="AE22" s="50"/>
      <c r="AF22" s="51">
        <f>AL27</f>
        <v>28259.473136277058</v>
      </c>
      <c r="AH22" s="52" t="s">
        <v>58</v>
      </c>
      <c r="AI22" s="52"/>
      <c r="AJ22" s="52"/>
      <c r="AK22" s="53"/>
      <c r="AL22" s="53"/>
      <c r="AM22" s="53"/>
      <c r="AN22" s="53"/>
    </row>
    <row r="23" spans="1:40" x14ac:dyDescent="0.35">
      <c r="A23" s="2"/>
      <c r="B23" s="4" t="s">
        <v>109</v>
      </c>
      <c r="C23" s="4"/>
      <c r="D23" s="4"/>
      <c r="E23" s="4"/>
      <c r="F23" s="6" t="s">
        <v>77</v>
      </c>
      <c r="G23" s="6"/>
      <c r="H23" s="6"/>
      <c r="I23" s="6"/>
      <c r="J23" s="6"/>
      <c r="K23" s="40"/>
      <c r="L23" s="6" t="s">
        <v>110</v>
      </c>
      <c r="M23" s="40"/>
      <c r="N23" s="40"/>
      <c r="O23" s="6" t="s">
        <v>110</v>
      </c>
      <c r="P23" s="40"/>
      <c r="Q23" s="40"/>
      <c r="R23" s="8"/>
      <c r="S23" s="8"/>
      <c r="T23" s="8"/>
      <c r="U23" s="2"/>
      <c r="V23" s="2"/>
      <c r="W23" s="2"/>
      <c r="X23" s="2"/>
      <c r="Y23" s="2"/>
      <c r="AC23" s="54" t="s">
        <v>59</v>
      </c>
      <c r="AD23" s="2"/>
      <c r="AE23" s="2"/>
      <c r="AF23" s="14">
        <v>1447</v>
      </c>
    </row>
    <row r="24" spans="1:40" x14ac:dyDescent="0.35">
      <c r="A24" s="2"/>
      <c r="B24" s="8"/>
      <c r="C24" s="8"/>
      <c r="D24" s="5"/>
      <c r="E24" s="5"/>
      <c r="F24" s="5" t="s">
        <v>81</v>
      </c>
      <c r="G24" s="5"/>
      <c r="H24" s="5"/>
      <c r="I24" s="5"/>
      <c r="J24" s="5"/>
      <c r="K24" s="5" t="s">
        <v>8</v>
      </c>
      <c r="L24" s="6" t="s">
        <v>15</v>
      </c>
      <c r="M24" s="40"/>
      <c r="N24" s="40"/>
      <c r="O24" s="6" t="s">
        <v>16</v>
      </c>
      <c r="P24" s="73"/>
      <c r="Q24" s="73"/>
      <c r="R24" s="6" t="s">
        <v>111</v>
      </c>
      <c r="S24" s="6"/>
      <c r="T24" s="6"/>
      <c r="U24" s="107"/>
      <c r="V24" s="107"/>
      <c r="W24" s="107"/>
      <c r="X24" s="107"/>
      <c r="Y24" s="2"/>
      <c r="AC24" s="43" t="s">
        <v>60</v>
      </c>
      <c r="AF24" s="14">
        <v>25.088999999999999</v>
      </c>
      <c r="AH24" s="39" t="s">
        <v>61</v>
      </c>
      <c r="AJ24" s="55">
        <f>AH12*$AI12</f>
        <v>4916.2721319756574</v>
      </c>
      <c r="AK24" s="55">
        <f>AG12*$AI12</f>
        <v>19828.079135181833</v>
      </c>
      <c r="AL24" s="55">
        <f>AF12*$AI12</f>
        <v>25670.297749679634</v>
      </c>
      <c r="AM24" s="55">
        <f>AE12*$AI12</f>
        <v>69649.524653107102</v>
      </c>
      <c r="AN24" s="55">
        <f>AD12*$AI12</f>
        <v>127330.71320369055</v>
      </c>
    </row>
    <row r="25" spans="1:40" x14ac:dyDescent="0.35">
      <c r="A25" s="2"/>
      <c r="B25" s="41" t="s">
        <v>86</v>
      </c>
      <c r="C25" s="41"/>
      <c r="D25" s="9"/>
      <c r="E25" s="9"/>
      <c r="F25" s="9" t="s">
        <v>14</v>
      </c>
      <c r="G25" s="9"/>
      <c r="H25" s="9"/>
      <c r="I25" s="9"/>
      <c r="J25" s="9"/>
      <c r="K25" s="9" t="s">
        <v>14</v>
      </c>
      <c r="L25" s="74" t="str">
        <f>$L$7</f>
        <v>LTM</v>
      </c>
      <c r="M25" s="75">
        <f>+$M$7</f>
        <v>46203</v>
      </c>
      <c r="N25" s="75">
        <f>+$N$7</f>
        <v>46568</v>
      </c>
      <c r="O25" s="74" t="str">
        <f>$L$7</f>
        <v>LTM</v>
      </c>
      <c r="P25" s="75">
        <f>+$M$7</f>
        <v>46203</v>
      </c>
      <c r="Q25" s="75">
        <f>+$N$7</f>
        <v>46568</v>
      </c>
      <c r="R25" s="74" t="str">
        <f>$L$7</f>
        <v>LTM</v>
      </c>
      <c r="S25" s="75">
        <f>+$M$7</f>
        <v>46203</v>
      </c>
      <c r="T25" s="75">
        <f>+$N$7</f>
        <v>46568</v>
      </c>
      <c r="U25" s="108"/>
      <c r="V25" s="108"/>
      <c r="W25" s="108"/>
      <c r="X25" s="108"/>
      <c r="Y25" s="2"/>
      <c r="AC25" s="43" t="s">
        <v>62</v>
      </c>
      <c r="AF25" s="14">
        <v>-4070</v>
      </c>
      <c r="AH25" s="39" t="s">
        <v>61</v>
      </c>
      <c r="AJ25" s="55">
        <f t="shared" ref="AJ25:AJ32" si="12">AH13*$AI13</f>
        <v>4588.0698922838346</v>
      </c>
      <c r="AK25" s="55">
        <f t="shared" ref="AK25:AK32" si="13">AG13*$AI13</f>
        <v>19885.097579004731</v>
      </c>
      <c r="AL25" s="55">
        <f t="shared" ref="AL25:AL32" si="14">AF13*$AI13</f>
        <v>25330.716714221435</v>
      </c>
      <c r="AM25" s="55">
        <f t="shared" ref="AM25:AM29" si="15">AE13*$AI13</f>
        <v>68121.9143467307</v>
      </c>
      <c r="AN25" s="55">
        <f t="shared" ref="AN25:AN29" si="16">AD13*$AI13</f>
        <v>120501.23911978645</v>
      </c>
    </row>
    <row r="26" spans="1:40" x14ac:dyDescent="0.35">
      <c r="A26" s="2"/>
      <c r="B26" s="2" t="str">
        <f t="shared" ref="B26:C31" si="17">+B8</f>
        <v>The Kroger Co.</v>
      </c>
      <c r="C26" s="2" t="str">
        <f t="shared" si="17"/>
        <v>KR</v>
      </c>
      <c r="D26" s="76"/>
      <c r="E26" s="77"/>
      <c r="F26" s="109">
        <f t="shared" ref="F26:F31" si="18">+F8</f>
        <v>47448.000000000007</v>
      </c>
      <c r="G26" s="79"/>
      <c r="H26" s="79"/>
      <c r="I26" s="79"/>
      <c r="J26" s="79"/>
      <c r="K26" s="109">
        <f t="shared" ref="K26:K31" si="19">+K8</f>
        <v>68658</v>
      </c>
      <c r="L26" s="15">
        <f t="shared" ref="L26:Q31" si="20">IFERROR(IF(OR(+$K8/L8&lt;0,+$K8/L8&gt;=100),"NM",+$K8/L8),"N/A")</f>
        <v>0.46667074488693133</v>
      </c>
      <c r="M26" s="15">
        <f t="shared" si="20"/>
        <v>0.46178059066054172</v>
      </c>
      <c r="N26" s="15">
        <f t="shared" si="20"/>
        <v>0.44935010537062975</v>
      </c>
      <c r="O26" s="15">
        <f t="shared" si="20"/>
        <v>8.6689393939393931</v>
      </c>
      <c r="P26" s="15">
        <f t="shared" si="20"/>
        <v>8.4658446362515409</v>
      </c>
      <c r="Q26" s="15">
        <f t="shared" si="20"/>
        <v>8.0869257950530038</v>
      </c>
      <c r="R26" s="15">
        <f t="shared" ref="R26:T31" si="21">IFERROR(IF(OR(+$F8/R8&lt;0,+$F8/R8&gt;=100),"NM",+$F8/R8),"N/A")</f>
        <v>17.80412757973734</v>
      </c>
      <c r="S26" s="15">
        <f t="shared" si="21"/>
        <v>15.874205419872869</v>
      </c>
      <c r="T26" s="15">
        <f t="shared" si="21"/>
        <v>14.594893878806523</v>
      </c>
      <c r="U26" s="2"/>
      <c r="V26" s="2"/>
      <c r="W26" s="2"/>
      <c r="X26" s="2"/>
      <c r="Y26" s="2"/>
      <c r="AC26" s="43" t="s">
        <v>63</v>
      </c>
      <c r="AF26" s="14">
        <v>0</v>
      </c>
      <c r="AH26" s="39" t="s">
        <v>61</v>
      </c>
      <c r="AJ26" s="55">
        <f t="shared" si="12"/>
        <v>4335.2089960758221</v>
      </c>
      <c r="AK26" s="55">
        <f t="shared" si="13"/>
        <v>19701.32134349813</v>
      </c>
      <c r="AL26" s="55">
        <f t="shared" si="14"/>
        <v>24621.38635044474</v>
      </c>
      <c r="AM26" s="55">
        <f t="shared" si="15"/>
        <v>64094.457115025878</v>
      </c>
      <c r="AN26" s="55">
        <f t="shared" si="16"/>
        <v>115851.93729915825</v>
      </c>
    </row>
    <row r="27" spans="1:40" x14ac:dyDescent="0.35">
      <c r="A27" s="2"/>
      <c r="B27" s="2" t="str">
        <f t="shared" si="17"/>
        <v>Target Corporation</v>
      </c>
      <c r="C27" s="2" t="str">
        <f t="shared" si="17"/>
        <v>TGT</v>
      </c>
      <c r="D27" s="82"/>
      <c r="E27" s="77"/>
      <c r="F27" s="83">
        <f t="shared" si="18"/>
        <v>39218.54</v>
      </c>
      <c r="G27" s="77"/>
      <c r="H27" s="77"/>
      <c r="I27" s="77"/>
      <c r="J27" s="77"/>
      <c r="K27" s="83">
        <f t="shared" si="19"/>
        <v>54331.54</v>
      </c>
      <c r="L27" s="15">
        <f t="shared" si="20"/>
        <v>0.50983934838503842</v>
      </c>
      <c r="M27" s="15">
        <f t="shared" si="20"/>
        <v>0.51767495926748164</v>
      </c>
      <c r="N27" s="15">
        <f t="shared" si="20"/>
        <v>0.50833199229056347</v>
      </c>
      <c r="O27" s="15">
        <f t="shared" si="20"/>
        <v>6.2789252282445398</v>
      </c>
      <c r="P27" s="15">
        <f>IFERROR(IF(OR(+$K9/P9&lt;0,+$K9/P9&gt;=100),"NM",+$K9/P9),"N/A")</f>
        <v>6.8922415324115187</v>
      </c>
      <c r="Q27" s="15">
        <f t="shared" si="20"/>
        <v>6.7183801162359345</v>
      </c>
      <c r="R27" s="15">
        <f t="shared" si="21"/>
        <v>9.5865411879736016</v>
      </c>
      <c r="S27" s="15">
        <f t="shared" si="21"/>
        <v>10.878929264909848</v>
      </c>
      <c r="T27" s="15">
        <f t="shared" si="21"/>
        <v>11.250298336201951</v>
      </c>
      <c r="U27" s="2"/>
      <c r="V27" s="2"/>
      <c r="W27" s="2"/>
      <c r="X27" s="2"/>
      <c r="Y27" s="2"/>
      <c r="AC27" s="43" t="s">
        <v>64</v>
      </c>
      <c r="AF27" s="14">
        <v>0</v>
      </c>
      <c r="AH27" s="39" t="s">
        <v>61</v>
      </c>
      <c r="AJ27" s="55">
        <f t="shared" si="12"/>
        <v>6667.3054762073543</v>
      </c>
      <c r="AK27" s="55">
        <f t="shared" si="13"/>
        <v>18023.119805300492</v>
      </c>
      <c r="AL27" s="55">
        <f t="shared" si="14"/>
        <v>28259.473136277058</v>
      </c>
      <c r="AM27" s="55">
        <f t="shared" si="15"/>
        <v>35200.097741030477</v>
      </c>
      <c r="AN27" s="55">
        <f t="shared" si="16"/>
        <v>61157.039443694302</v>
      </c>
    </row>
    <row r="28" spans="1:40" x14ac:dyDescent="0.35">
      <c r="A28" s="2"/>
      <c r="B28" s="2" t="str">
        <f t="shared" si="17"/>
        <v>BJ’s Wholesale Club Holdings, Inc.</v>
      </c>
      <c r="C28" s="2" t="str">
        <f t="shared" si="17"/>
        <v>BJ</v>
      </c>
      <c r="D28" s="82"/>
      <c r="E28" s="77"/>
      <c r="F28" s="83">
        <f t="shared" si="18"/>
        <v>12078.0198</v>
      </c>
      <c r="G28" s="77"/>
      <c r="H28" s="77"/>
      <c r="I28" s="77"/>
      <c r="J28" s="77"/>
      <c r="K28" s="83">
        <f t="shared" si="19"/>
        <v>14893.663799999998</v>
      </c>
      <c r="L28" s="15">
        <f t="shared" si="20"/>
        <v>0.72644931226221821</v>
      </c>
      <c r="M28" s="15">
        <f t="shared" si="20"/>
        <v>0.69440804737038409</v>
      </c>
      <c r="N28" s="15">
        <f t="shared" si="20"/>
        <v>0.65165888427040031</v>
      </c>
      <c r="O28" s="15">
        <f>IFERROR(IF(OR(+$K10/O10&lt;0,+$K10/O10&gt;=100),"NM",+$K10/O10),"N/A")</f>
        <v>12.894947012987013</v>
      </c>
      <c r="P28" s="15">
        <f t="shared" si="20"/>
        <v>11.745791640378547</v>
      </c>
      <c r="Q28" s="15">
        <f t="shared" si="20"/>
        <v>11.164665517241378</v>
      </c>
      <c r="R28" s="15">
        <f t="shared" si="21"/>
        <v>21.108038797623205</v>
      </c>
      <c r="S28" s="15">
        <f t="shared" si="21"/>
        <v>19.411796528447443</v>
      </c>
      <c r="T28" s="15">
        <f t="shared" si="21"/>
        <v>17.938541214911631</v>
      </c>
      <c r="U28" s="2"/>
      <c r="V28" s="2"/>
      <c r="W28" s="2"/>
      <c r="X28" s="2"/>
      <c r="Y28" s="2"/>
      <c r="AC28" s="43" t="s">
        <v>65</v>
      </c>
      <c r="AF28" s="14">
        <v>0</v>
      </c>
      <c r="AH28" s="39" t="s">
        <v>61</v>
      </c>
      <c r="AJ28" s="55">
        <f t="shared" si="12"/>
        <v>5966.7460062989257</v>
      </c>
      <c r="AK28" s="55">
        <f t="shared" si="13"/>
        <v>18986.38385561619</v>
      </c>
      <c r="AL28" s="55">
        <f t="shared" si="14"/>
        <v>26335.762068449003</v>
      </c>
      <c r="AM28" s="55">
        <f t="shared" si="15"/>
        <v>34017.735611970027</v>
      </c>
      <c r="AN28" s="55">
        <f t="shared" si="16"/>
        <v>55762.372253590882</v>
      </c>
    </row>
    <row r="29" spans="1:40" x14ac:dyDescent="0.35">
      <c r="A29" s="2"/>
      <c r="B29" s="2" t="str">
        <f t="shared" si="17"/>
        <v>The TJX Companies, Inc.</v>
      </c>
      <c r="C29" s="2" t="str">
        <f t="shared" si="17"/>
        <v>TJX</v>
      </c>
      <c r="D29" s="82"/>
      <c r="E29" s="77"/>
      <c r="F29" s="83">
        <f t="shared" si="18"/>
        <v>165364.72</v>
      </c>
      <c r="G29" s="77"/>
      <c r="H29" s="77"/>
      <c r="I29" s="77"/>
      <c r="J29" s="77"/>
      <c r="K29" s="83">
        <f t="shared" si="19"/>
        <v>172807.72</v>
      </c>
      <c r="L29" s="15">
        <f t="shared" si="20"/>
        <v>3.0661412349183816</v>
      </c>
      <c r="M29" s="15">
        <f t="shared" si="20"/>
        <v>2.8830116783450115</v>
      </c>
      <c r="N29" s="15">
        <f t="shared" si="20"/>
        <v>2.7290743986986938</v>
      </c>
      <c r="O29" s="15">
        <f t="shared" si="20"/>
        <v>23.333475560356469</v>
      </c>
      <c r="P29" s="15">
        <f t="shared" si="20"/>
        <v>21.39768697374938</v>
      </c>
      <c r="Q29" s="15">
        <f t="shared" si="20"/>
        <v>19.619405086285195</v>
      </c>
      <c r="R29" s="15">
        <f t="shared" si="21"/>
        <v>33.997680921052634</v>
      </c>
      <c r="S29" s="15">
        <f t="shared" si="21"/>
        <v>31.450117915557247</v>
      </c>
      <c r="T29" s="15">
        <f t="shared" si="21"/>
        <v>28.965619197757928</v>
      </c>
      <c r="U29" s="2"/>
      <c r="V29" s="2"/>
      <c r="W29" s="2"/>
      <c r="X29" s="2"/>
      <c r="Y29" s="2"/>
      <c r="AC29" s="43" t="s">
        <v>66</v>
      </c>
      <c r="AF29" s="57">
        <v>0</v>
      </c>
      <c r="AH29" s="39" t="s">
        <v>61</v>
      </c>
      <c r="AJ29" s="55">
        <f t="shared" si="12"/>
        <v>5594.4223957191143</v>
      </c>
      <c r="AK29" s="55">
        <f t="shared" si="13"/>
        <v>19006.910514751024</v>
      </c>
      <c r="AL29" s="55">
        <f t="shared" si="14"/>
        <v>25912.641906348235</v>
      </c>
      <c r="AM29" s="55">
        <f t="shared" si="15"/>
        <v>32974.860179364499</v>
      </c>
      <c r="AN29" s="55">
        <f t="shared" si="16"/>
        <v>52815.438492279747</v>
      </c>
    </row>
    <row r="30" spans="1:40" x14ac:dyDescent="0.35">
      <c r="A30" s="2"/>
      <c r="B30" s="2" t="str">
        <f t="shared" si="17"/>
        <v xml:space="preserve">Costco Wholesale </v>
      </c>
      <c r="C30" s="2" t="str">
        <f t="shared" si="17"/>
        <v>COST</v>
      </c>
      <c r="D30" s="82"/>
      <c r="E30" s="77"/>
      <c r="F30" s="83">
        <f t="shared" si="18"/>
        <v>39694.56194</v>
      </c>
      <c r="G30" s="77"/>
      <c r="H30" s="77"/>
      <c r="I30" s="77"/>
      <c r="J30" s="77"/>
      <c r="K30" s="83">
        <f t="shared" si="19"/>
        <v>32583.56194</v>
      </c>
      <c r="L30" s="15">
        <f t="shared" si="20"/>
        <v>0.11838451483277926</v>
      </c>
      <c r="M30" s="15">
        <f t="shared" si="20"/>
        <v>0.10977031586678075</v>
      </c>
      <c r="N30" s="15">
        <f t="shared" si="20"/>
        <v>0.1021226589733062</v>
      </c>
      <c r="O30" s="15">
        <f t="shared" si="20"/>
        <v>2.5438021656647671</v>
      </c>
      <c r="P30" s="15">
        <f t="shared" si="20"/>
        <v>2.2896185749420281</v>
      </c>
      <c r="Q30" s="15">
        <f t="shared" si="20"/>
        <v>2.0781658230754512</v>
      </c>
      <c r="R30" s="15">
        <f t="shared" si="21"/>
        <v>4.901168284973453</v>
      </c>
      <c r="S30" s="15">
        <f t="shared" si="21"/>
        <v>4.4490654494507957</v>
      </c>
      <c r="T30" s="15">
        <f t="shared" si="21"/>
        <v>4.0344101981908729</v>
      </c>
      <c r="U30" s="2"/>
      <c r="V30" s="2"/>
      <c r="W30" s="2"/>
      <c r="X30" s="2"/>
      <c r="Y30" s="2"/>
      <c r="AC30" s="58" t="s">
        <v>67</v>
      </c>
      <c r="AD30" s="59"/>
      <c r="AE30" s="59"/>
      <c r="AF30" s="60">
        <f>SUM(AF22:AF29)</f>
        <v>25661.562136277058</v>
      </c>
      <c r="AH30" s="39" t="s">
        <v>68</v>
      </c>
      <c r="AJ30" s="55">
        <f t="shared" si="12"/>
        <v>4543.3830001703909</v>
      </c>
      <c r="AK30" s="55">
        <f t="shared" si="13"/>
        <v>10791.149327542775</v>
      </c>
      <c r="AL30" s="55">
        <f t="shared" si="14"/>
        <v>16842.347447723136</v>
      </c>
      <c r="AM30" s="55">
        <f t="shared" ref="AM30:AM32" si="22">AE18*$AI18</f>
        <v>18970.431131304973</v>
      </c>
      <c r="AN30" s="55">
        <f t="shared" ref="AN30:AN32" si="23">AD18*$AI18</f>
        <v>31515.850213815793</v>
      </c>
    </row>
    <row r="31" spans="1:40" x14ac:dyDescent="0.35">
      <c r="A31" s="2"/>
      <c r="B31" s="2" t="str">
        <f t="shared" si="17"/>
        <v>Lowe's Companies, Inc.</v>
      </c>
      <c r="C31" s="2" t="str">
        <f t="shared" si="17"/>
        <v>LOW</v>
      </c>
      <c r="D31" s="82"/>
      <c r="E31" s="77"/>
      <c r="F31" s="83">
        <f t="shared" si="18"/>
        <v>128935.41408</v>
      </c>
      <c r="G31" s="77"/>
      <c r="H31" s="77"/>
      <c r="I31" s="77"/>
      <c r="J31" s="77"/>
      <c r="K31" s="83">
        <f t="shared" si="19"/>
        <v>166852.41408000002</v>
      </c>
      <c r="L31" s="15">
        <f t="shared" si="20"/>
        <v>1.9940771814422642</v>
      </c>
      <c r="M31" s="15">
        <f t="shared" si="20"/>
        <v>1.9416344413154283</v>
      </c>
      <c r="N31" s="15">
        <f t="shared" si="20"/>
        <v>1.7959078872420811</v>
      </c>
      <c r="O31" s="15">
        <f t="shared" si="20"/>
        <v>13.608385456324934</v>
      </c>
      <c r="P31" s="15">
        <f t="shared" si="20"/>
        <v>13.48956375454766</v>
      </c>
      <c r="Q31" s="15">
        <f t="shared" si="20"/>
        <v>12.610718319099087</v>
      </c>
      <c r="R31" s="15">
        <f t="shared" si="21"/>
        <v>18.533191617076326</v>
      </c>
      <c r="S31" s="15">
        <f t="shared" si="21"/>
        <v>19.025441062416999</v>
      </c>
      <c r="T31" s="15">
        <f t="shared" si="21"/>
        <v>17.388457731625085</v>
      </c>
      <c r="U31" s="2"/>
      <c r="V31" s="2"/>
      <c r="W31" s="2"/>
      <c r="X31" s="2"/>
      <c r="Y31" s="2"/>
      <c r="AH31" s="39" t="s">
        <v>68</v>
      </c>
      <c r="AJ31" s="55">
        <f t="shared" si="12"/>
        <v>5356.6748011387581</v>
      </c>
      <c r="AK31" s="55">
        <f t="shared" si="13"/>
        <v>14601.808957595327</v>
      </c>
      <c r="AL31" s="55">
        <f t="shared" si="14"/>
        <v>21009.587182338499</v>
      </c>
      <c r="AM31" s="55">
        <f t="shared" si="22"/>
        <v>23255.510024975556</v>
      </c>
      <c r="AN31" s="55">
        <f t="shared" si="23"/>
        <v>37865.941970330925</v>
      </c>
    </row>
    <row r="32" spans="1:40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AC32" s="2" t="s">
        <v>69</v>
      </c>
      <c r="AD32" s="2"/>
      <c r="AE32" s="2"/>
      <c r="AF32" s="61">
        <v>217</v>
      </c>
      <c r="AH32" s="39" t="s">
        <v>68</v>
      </c>
      <c r="AJ32" s="55">
        <f t="shared" si="12"/>
        <v>5502.9355103323505</v>
      </c>
      <c r="AK32" s="55">
        <f t="shared" si="13"/>
        <v>16485.914010607619</v>
      </c>
      <c r="AL32" s="55">
        <f t="shared" si="14"/>
        <v>21812.645798314355</v>
      </c>
      <c r="AM32" s="55">
        <f t="shared" si="22"/>
        <v>24280.591749338753</v>
      </c>
      <c r="AN32" s="55">
        <f t="shared" si="23"/>
        <v>39509.104585741814</v>
      </c>
    </row>
    <row r="33" spans="1:40" x14ac:dyDescent="0.35">
      <c r="A33" s="2"/>
      <c r="B33" s="18" t="s">
        <v>43</v>
      </c>
      <c r="C33" s="86"/>
      <c r="D33" s="87"/>
      <c r="E33" s="87"/>
      <c r="F33" s="20">
        <f>MAX(F26:F31)</f>
        <v>165364.72</v>
      </c>
      <c r="G33" s="20"/>
      <c r="H33" s="20"/>
      <c r="I33" s="20"/>
      <c r="J33" s="20"/>
      <c r="K33" s="20">
        <f t="shared" ref="K33:T33" si="24">MAX(K26:K31)</f>
        <v>172807.72</v>
      </c>
      <c r="L33" s="21">
        <f t="shared" si="24"/>
        <v>3.0661412349183816</v>
      </c>
      <c r="M33" s="21">
        <f t="shared" si="24"/>
        <v>2.8830116783450115</v>
      </c>
      <c r="N33" s="21">
        <f t="shared" si="24"/>
        <v>2.7290743986986938</v>
      </c>
      <c r="O33" s="21">
        <f t="shared" si="24"/>
        <v>23.333475560356469</v>
      </c>
      <c r="P33" s="21">
        <f t="shared" si="24"/>
        <v>21.39768697374938</v>
      </c>
      <c r="Q33" s="21">
        <f t="shared" si="24"/>
        <v>19.619405086285195</v>
      </c>
      <c r="R33" s="21">
        <f t="shared" si="24"/>
        <v>33.997680921052634</v>
      </c>
      <c r="S33" s="21">
        <f t="shared" si="24"/>
        <v>31.450117915557247</v>
      </c>
      <c r="T33" s="22">
        <f t="shared" si="24"/>
        <v>28.965619197757928</v>
      </c>
      <c r="U33" s="2"/>
      <c r="V33" s="2"/>
      <c r="W33" s="2"/>
      <c r="X33" s="2"/>
      <c r="Y33" s="2"/>
      <c r="AN33" s="2"/>
    </row>
    <row r="34" spans="1:40" x14ac:dyDescent="0.35">
      <c r="A34" s="2"/>
      <c r="B34" s="23" t="s">
        <v>44</v>
      </c>
      <c r="C34" s="2"/>
      <c r="D34" s="90"/>
      <c r="E34" s="90"/>
      <c r="F34" s="25">
        <f>QUARTILE(F26:F31,3)</f>
        <v>108563.56056</v>
      </c>
      <c r="G34" s="25"/>
      <c r="H34" s="25"/>
      <c r="I34" s="25"/>
      <c r="J34" s="25"/>
      <c r="K34" s="25">
        <f t="shared" ref="K34:T34" si="25">QUARTILE(K26:K31,3)</f>
        <v>142303.81056000001</v>
      </c>
      <c r="L34" s="15">
        <f t="shared" si="25"/>
        <v>1.6771702141472526</v>
      </c>
      <c r="M34" s="15">
        <f t="shared" si="25"/>
        <v>1.629827842829167</v>
      </c>
      <c r="N34" s="15">
        <f t="shared" si="25"/>
        <v>1.5098456364991608</v>
      </c>
      <c r="O34" s="15">
        <f t="shared" si="25"/>
        <v>13.430025845490453</v>
      </c>
      <c r="P34" s="15">
        <f t="shared" si="25"/>
        <v>13.053620726005382</v>
      </c>
      <c r="Q34" s="15">
        <f t="shared" si="25"/>
        <v>12.249205118634659</v>
      </c>
      <c r="R34" s="15">
        <f t="shared" si="25"/>
        <v>20.464327002486485</v>
      </c>
      <c r="S34" s="15">
        <f t="shared" si="25"/>
        <v>19.31520766193983</v>
      </c>
      <c r="T34" s="26">
        <f t="shared" si="25"/>
        <v>17.801020344089995</v>
      </c>
      <c r="U34" s="2"/>
      <c r="V34" s="2"/>
      <c r="W34" s="2"/>
      <c r="X34" s="2"/>
      <c r="Y34" s="2"/>
      <c r="AC34" s="62" t="s">
        <v>217</v>
      </c>
      <c r="AD34" s="63"/>
      <c r="AE34" s="63"/>
      <c r="AF34" s="64">
        <f>AF30/AF32</f>
        <v>118.25604671095418</v>
      </c>
      <c r="AN34" s="2"/>
    </row>
    <row r="35" spans="1:40" x14ac:dyDescent="0.35">
      <c r="A35" s="2"/>
      <c r="B35" s="27" t="s">
        <v>45</v>
      </c>
      <c r="C35" s="92"/>
      <c r="D35" s="93"/>
      <c r="E35" s="93"/>
      <c r="F35" s="94">
        <f>MEDIAN(F26:F31)</f>
        <v>43571.280970000007</v>
      </c>
      <c r="G35" s="94"/>
      <c r="H35" s="94"/>
      <c r="I35" s="94"/>
      <c r="J35" s="94"/>
      <c r="K35" s="94">
        <f t="shared" ref="K35:T35" si="26">MEDIAN(K26:K31)</f>
        <v>61494.770000000004</v>
      </c>
      <c r="L35" s="30">
        <f t="shared" si="26"/>
        <v>0.61814433032362825</v>
      </c>
      <c r="M35" s="30">
        <f t="shared" si="26"/>
        <v>0.60604150331893281</v>
      </c>
      <c r="N35" s="30">
        <f t="shared" si="26"/>
        <v>0.57999543828048195</v>
      </c>
      <c r="O35" s="30">
        <f t="shared" si="26"/>
        <v>10.781943203463204</v>
      </c>
      <c r="P35" s="30">
        <f t="shared" si="26"/>
        <v>10.105818138315044</v>
      </c>
      <c r="Q35" s="30">
        <f t="shared" si="26"/>
        <v>9.62579565614719</v>
      </c>
      <c r="R35" s="30">
        <f t="shared" si="26"/>
        <v>18.168659598406833</v>
      </c>
      <c r="S35" s="30">
        <f t="shared" si="26"/>
        <v>17.449823241144934</v>
      </c>
      <c r="T35" s="31">
        <f t="shared" si="26"/>
        <v>15.991675805215804</v>
      </c>
      <c r="U35" s="2"/>
      <c r="V35" s="2"/>
      <c r="W35" s="2"/>
      <c r="X35" s="2"/>
      <c r="Y35" s="2"/>
      <c r="AC35" s="65" t="s">
        <v>70</v>
      </c>
      <c r="AD35" s="66"/>
      <c r="AE35" s="66"/>
      <c r="AF35" s="323">
        <f>AF34/DCF!Share_Price -1</f>
        <v>0.59181648554252475</v>
      </c>
      <c r="AN35" s="2"/>
    </row>
    <row r="36" spans="1:40" x14ac:dyDescent="0.35">
      <c r="A36" s="2"/>
      <c r="B36" s="23" t="s">
        <v>46</v>
      </c>
      <c r="C36" s="70"/>
      <c r="D36" s="90"/>
      <c r="E36" s="90"/>
      <c r="F36" s="25">
        <f>QUARTILE(F26:F31,1)</f>
        <v>39337.545485000002</v>
      </c>
      <c r="G36" s="25"/>
      <c r="H36" s="25"/>
      <c r="I36" s="25"/>
      <c r="J36" s="25"/>
      <c r="K36" s="25">
        <f t="shared" ref="K36:T36" si="27">QUARTILE(K26:K31,1)</f>
        <v>38020.556454999998</v>
      </c>
      <c r="L36" s="15">
        <f t="shared" si="27"/>
        <v>0.47746289576145812</v>
      </c>
      <c r="M36" s="15">
        <f t="shared" si="27"/>
        <v>0.47575418281227672</v>
      </c>
      <c r="N36" s="15">
        <f t="shared" si="27"/>
        <v>0.46409557710061317</v>
      </c>
      <c r="O36" s="15">
        <f t="shared" si="27"/>
        <v>6.8764287696682533</v>
      </c>
      <c r="P36" s="15">
        <f t="shared" si="27"/>
        <v>7.285642308371524</v>
      </c>
      <c r="Q36" s="15">
        <f t="shared" si="27"/>
        <v>7.0605165359402022</v>
      </c>
      <c r="R36" s="15">
        <f t="shared" si="27"/>
        <v>11.640937785914536</v>
      </c>
      <c r="S36" s="15">
        <f t="shared" si="27"/>
        <v>12.127748303650604</v>
      </c>
      <c r="T36" s="26">
        <f t="shared" si="27"/>
        <v>12.086447221853094</v>
      </c>
      <c r="U36" s="2"/>
      <c r="V36" s="2"/>
      <c r="W36" s="2"/>
      <c r="X36" s="2"/>
      <c r="Y36" s="2"/>
      <c r="AN36" s="2"/>
    </row>
    <row r="37" spans="1:40" x14ac:dyDescent="0.35">
      <c r="A37" s="2"/>
      <c r="B37" s="32" t="s">
        <v>47</v>
      </c>
      <c r="C37" s="97"/>
      <c r="D37" s="98"/>
      <c r="E37" s="98"/>
      <c r="F37" s="34">
        <f>MIN(F26:F31)</f>
        <v>12078.0198</v>
      </c>
      <c r="G37" s="34"/>
      <c r="H37" s="34"/>
      <c r="I37" s="34"/>
      <c r="J37" s="34"/>
      <c r="K37" s="34">
        <f t="shared" ref="K37:T37" si="28">MIN(K26:K31)</f>
        <v>14893.663799999998</v>
      </c>
      <c r="L37" s="35">
        <f t="shared" si="28"/>
        <v>0.11838451483277926</v>
      </c>
      <c r="M37" s="35">
        <f t="shared" si="28"/>
        <v>0.10977031586678075</v>
      </c>
      <c r="N37" s="35">
        <f t="shared" si="28"/>
        <v>0.1021226589733062</v>
      </c>
      <c r="O37" s="35">
        <f t="shared" si="28"/>
        <v>2.5438021656647671</v>
      </c>
      <c r="P37" s="35">
        <f t="shared" si="28"/>
        <v>2.2896185749420281</v>
      </c>
      <c r="Q37" s="35">
        <f t="shared" si="28"/>
        <v>2.0781658230754512</v>
      </c>
      <c r="R37" s="35">
        <f t="shared" si="28"/>
        <v>4.901168284973453</v>
      </c>
      <c r="S37" s="35">
        <f t="shared" si="28"/>
        <v>4.4490654494507957</v>
      </c>
      <c r="T37" s="36">
        <f t="shared" si="28"/>
        <v>4.0344101981908729</v>
      </c>
      <c r="U37" s="2"/>
      <c r="V37" s="2"/>
      <c r="W37" s="2"/>
      <c r="X37" s="2"/>
      <c r="Y37" s="2"/>
      <c r="AN37" s="2"/>
    </row>
    <row r="38" spans="1:40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AN38" s="2"/>
    </row>
    <row r="39" spans="1:40" ht="14.5" customHeight="1" x14ac:dyDescent="0.35">
      <c r="A39" s="2"/>
      <c r="B39" s="101" t="str">
        <f>B21</f>
        <v>Best Buy Co. Inc.</v>
      </c>
      <c r="C39" s="102" t="str">
        <f>C21</f>
        <v>BBY</v>
      </c>
      <c r="D39" s="103"/>
      <c r="E39" s="103"/>
      <c r="F39" s="110">
        <f>+F21</f>
        <v>16120.930000000002</v>
      </c>
      <c r="G39" s="111"/>
      <c r="H39" s="111"/>
      <c r="I39" s="111"/>
      <c r="J39" s="111"/>
      <c r="K39" s="110">
        <f>+K21</f>
        <v>18743.93</v>
      </c>
      <c r="L39" s="112">
        <f t="shared" ref="L39:Q39" si="29">IFERROR(IF(OR(+$K21/L21&lt;0,+$K21/L21&gt;=100),"NM",+$K21/L21),"N/A")</f>
        <v>0.4513564342130611</v>
      </c>
      <c r="M39" s="112">
        <f t="shared" si="29"/>
        <v>0.44845156350934279</v>
      </c>
      <c r="N39" s="113">
        <f t="shared" si="29"/>
        <v>0.44154271984169985</v>
      </c>
      <c r="O39" s="114">
        <f t="shared" si="29"/>
        <v>7.1514421976344904</v>
      </c>
      <c r="P39" s="114">
        <f t="shared" si="29"/>
        <v>7.1926055257099</v>
      </c>
      <c r="Q39" s="114">
        <f t="shared" si="29"/>
        <v>6.9628268945022294</v>
      </c>
      <c r="R39" s="114">
        <f>IFERROR(IF(OR(+$F21/R21&lt;0,+$F21/R21&gt;=100),"NM",+$F21/R21),"N/A")</f>
        <v>17.390431499460629</v>
      </c>
      <c r="S39" s="114">
        <f>IFERROR(IF(OR(+$F21/S21&lt;0,+$F21/S21&gt;=100),"NM",+$F21/S21),"N/A")</f>
        <v>13.389476744186048</v>
      </c>
      <c r="T39" s="114">
        <f>IFERROR(IF(OR(+$F21/T21&lt;0,+$F21/T21&gt;=100),"NM",+$F21/T21),"N/A")</f>
        <v>11.818863636363638</v>
      </c>
      <c r="U39" s="2"/>
      <c r="V39" s="2"/>
      <c r="W39" s="2"/>
      <c r="X39" s="2"/>
      <c r="Y39" s="2"/>
      <c r="AN39" s="2"/>
    </row>
    <row r="40" spans="1:40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115"/>
      <c r="S40" s="2"/>
      <c r="T40" s="2"/>
      <c r="U40" s="2"/>
      <c r="V40" s="2"/>
      <c r="W40" s="2"/>
      <c r="X40" s="2"/>
      <c r="Y40" s="2"/>
      <c r="AN40" s="2"/>
    </row>
    <row r="41" spans="1:40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AN41" s="2"/>
    </row>
    <row r="42" spans="1:40" x14ac:dyDescent="0.35">
      <c r="AN42" s="2"/>
    </row>
    <row r="43" spans="1:40" x14ac:dyDescent="0.35">
      <c r="AN43" s="2"/>
    </row>
  </sheetData>
  <pageMargins left="0.7" right="0.7" top="0.75" bottom="0.75" header="0.3" footer="0.3"/>
  <pageSetup scale="37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A54A-3F28-4584-B107-257E5C792D17}">
  <sheetPr>
    <pageSetUpPr autoPageBreaks="0"/>
  </sheetPr>
  <dimension ref="B2:Y67"/>
  <sheetViews>
    <sheetView showGridLines="0" topLeftCell="E3" zoomScale="69" zoomScaleNormal="69" workbookViewId="0">
      <selection activeCell="Q29" sqref="Q29"/>
    </sheetView>
  </sheetViews>
  <sheetFormatPr defaultRowHeight="14.5" x14ac:dyDescent="0.35"/>
  <cols>
    <col min="1" max="1" width="2.7265625" customWidth="1"/>
    <col min="2" max="2" width="38.453125" bestFit="1" customWidth="1"/>
    <col min="3" max="3" width="35.54296875" customWidth="1"/>
    <col min="4" max="10" width="16.7265625" customWidth="1"/>
    <col min="11" max="12" width="2.7265625" customWidth="1"/>
    <col min="13" max="13" width="12.26953125" customWidth="1"/>
    <col min="14" max="14" width="37.08984375" customWidth="1"/>
    <col min="15" max="15" width="12.26953125" customWidth="1"/>
    <col min="16" max="16" width="17.26953125" customWidth="1"/>
    <col min="17" max="22" width="12.26953125" customWidth="1"/>
    <col min="23" max="23" width="12" customWidth="1"/>
    <col min="24" max="24" width="11.1796875" customWidth="1"/>
    <col min="25" max="25" width="12.54296875" customWidth="1"/>
  </cols>
  <sheetData>
    <row r="2" spans="2:25" ht="18.5" x14ac:dyDescent="0.45">
      <c r="B2" s="1" t="s">
        <v>0</v>
      </c>
    </row>
    <row r="3" spans="2:25" ht="18.5" x14ac:dyDescent="0.45">
      <c r="B3" s="1" t="s">
        <v>221</v>
      </c>
    </row>
    <row r="4" spans="2:25" ht="15.5" x14ac:dyDescent="0.35">
      <c r="B4" s="2" t="s">
        <v>1</v>
      </c>
    </row>
    <row r="5" spans="2:25" ht="15.5" x14ac:dyDescent="0.35">
      <c r="B5" s="3" t="s">
        <v>2</v>
      </c>
    </row>
    <row r="7" spans="2:25" ht="15.5" x14ac:dyDescent="0.35">
      <c r="B7" s="4" t="str">
        <f>Company_Name&amp;" - Comparable M&amp;A Transactions:"</f>
        <v>Best Buy Co. - Comparable M&amp;A Transactions:</v>
      </c>
      <c r="C7" s="4"/>
      <c r="D7" s="4"/>
      <c r="E7" s="4"/>
      <c r="F7" s="5"/>
      <c r="G7" s="5"/>
      <c r="H7" s="5"/>
      <c r="I7" s="6" t="s">
        <v>3</v>
      </c>
      <c r="J7" s="6"/>
      <c r="L7" s="3"/>
      <c r="M7" s="3"/>
      <c r="N7" s="4" t="s">
        <v>219</v>
      </c>
      <c r="O7" s="6" t="str">
        <f>TEXT(Company_Name,"")&amp;" - Range of Valuation Multiples / Premiums"</f>
        <v>Best Buy Co. - Range of Valuation Multiples / Premiums</v>
      </c>
      <c r="P7" s="6"/>
      <c r="Q7" s="6"/>
      <c r="R7" s="40"/>
      <c r="S7" s="40"/>
      <c r="T7" s="40"/>
      <c r="U7" s="6" t="str">
        <f>TEXT(Company_Name,"")&amp;" - Implied Per Share Value Range"</f>
        <v>Best Buy Co. - Implied Per Share Value Range</v>
      </c>
      <c r="V7" s="40"/>
      <c r="W7" s="40"/>
      <c r="X7" s="40"/>
      <c r="Y7" s="40"/>
    </row>
    <row r="8" spans="2:25" ht="15.5" x14ac:dyDescent="0.35">
      <c r="B8" s="4"/>
      <c r="C8" s="4"/>
      <c r="D8" s="4"/>
      <c r="E8" s="4"/>
      <c r="F8" s="5" t="s">
        <v>4</v>
      </c>
      <c r="G8" s="5"/>
      <c r="H8" s="5"/>
      <c r="I8" s="5" t="s">
        <v>5</v>
      </c>
      <c r="J8" s="5" t="s">
        <v>5</v>
      </c>
      <c r="L8" s="7"/>
      <c r="M8" s="2"/>
      <c r="N8" s="8"/>
      <c r="O8" s="5"/>
      <c r="P8" s="6"/>
      <c r="Q8" s="6"/>
      <c r="R8" s="40"/>
      <c r="S8" s="6"/>
      <c r="T8" s="6"/>
      <c r="U8" s="6"/>
      <c r="V8" s="6"/>
      <c r="W8" s="6"/>
      <c r="X8" s="6"/>
      <c r="Y8" s="6"/>
    </row>
    <row r="9" spans="2:25" ht="15.5" x14ac:dyDescent="0.35">
      <c r="B9" s="8"/>
      <c r="C9" s="8"/>
      <c r="D9" s="5" t="s">
        <v>6</v>
      </c>
      <c r="E9" s="5" t="s">
        <v>7</v>
      </c>
      <c r="F9" s="5" t="s">
        <v>8</v>
      </c>
      <c r="G9" s="5" t="s">
        <v>9</v>
      </c>
      <c r="H9" s="5" t="s">
        <v>9</v>
      </c>
      <c r="I9" s="5" t="s">
        <v>9</v>
      </c>
      <c r="J9" s="5" t="s">
        <v>9</v>
      </c>
      <c r="L9" s="7"/>
      <c r="M9" s="2"/>
      <c r="N9" s="8"/>
      <c r="O9" s="5"/>
      <c r="P9" s="5" t="s">
        <v>48</v>
      </c>
      <c r="Q9" s="5"/>
      <c r="R9" s="5" t="s">
        <v>49</v>
      </c>
      <c r="S9" s="6"/>
      <c r="T9" s="5" t="s">
        <v>50</v>
      </c>
      <c r="U9" s="5"/>
      <c r="V9" s="5" t="s">
        <v>49</v>
      </c>
      <c r="W9" s="5"/>
      <c r="X9" s="5" t="s">
        <v>48</v>
      </c>
      <c r="Y9" s="5"/>
    </row>
    <row r="10" spans="2:25" ht="15.5" x14ac:dyDescent="0.35">
      <c r="B10" s="9" t="s">
        <v>10</v>
      </c>
      <c r="C10" s="9" t="s">
        <v>11</v>
      </c>
      <c r="D10" s="9" t="s">
        <v>12</v>
      </c>
      <c r="E10" s="9" t="s">
        <v>13</v>
      </c>
      <c r="F10" s="9" t="s">
        <v>14</v>
      </c>
      <c r="G10" s="9" t="s">
        <v>15</v>
      </c>
      <c r="H10" s="9" t="s">
        <v>16</v>
      </c>
      <c r="I10" s="9" t="s">
        <v>15</v>
      </c>
      <c r="J10" s="9" t="s">
        <v>16</v>
      </c>
      <c r="L10" s="10"/>
      <c r="M10" s="3"/>
      <c r="N10" s="8"/>
      <c r="O10" s="5" t="s">
        <v>43</v>
      </c>
      <c r="P10" s="5" t="s">
        <v>51</v>
      </c>
      <c r="Q10" s="5" t="s">
        <v>45</v>
      </c>
      <c r="R10" s="5" t="s">
        <v>51</v>
      </c>
      <c r="S10" s="5" t="s">
        <v>47</v>
      </c>
      <c r="T10" s="5" t="s">
        <v>52</v>
      </c>
      <c r="U10" s="5" t="s">
        <v>47</v>
      </c>
      <c r="V10" s="5" t="s">
        <v>51</v>
      </c>
      <c r="W10" s="5" t="s">
        <v>45</v>
      </c>
      <c r="X10" s="5" t="s">
        <v>51</v>
      </c>
      <c r="Y10" s="5" t="s">
        <v>43</v>
      </c>
    </row>
    <row r="11" spans="2:25" ht="15.5" x14ac:dyDescent="0.35">
      <c r="B11" s="3" t="s">
        <v>17</v>
      </c>
      <c r="C11" s="11" t="s">
        <v>18</v>
      </c>
      <c r="D11" s="12">
        <v>44045</v>
      </c>
      <c r="E11" s="13">
        <v>1</v>
      </c>
      <c r="F11" s="14">
        <v>21000</v>
      </c>
      <c r="G11" s="14">
        <v>33000</v>
      </c>
      <c r="H11" s="14">
        <v>1500</v>
      </c>
      <c r="I11" s="15">
        <f t="shared" ref="I11:J14" si="0">IFERROR(IF(OR(+$F11/G11&lt;0,+$F11/G11&gt;=100),"NM",+$F11/G11),"N/A")</f>
        <v>0.63636363636363635</v>
      </c>
      <c r="J11" s="15">
        <f t="shared" si="0"/>
        <v>14</v>
      </c>
      <c r="L11" s="3"/>
      <c r="M11" s="3"/>
      <c r="N11" s="41"/>
      <c r="O11" s="9" t="s">
        <v>53</v>
      </c>
      <c r="P11" s="9" t="s">
        <v>53</v>
      </c>
      <c r="Q11" s="9" t="s">
        <v>53</v>
      </c>
      <c r="R11" s="9" t="s">
        <v>53</v>
      </c>
      <c r="S11" s="9" t="s">
        <v>53</v>
      </c>
      <c r="T11" s="9" t="s">
        <v>54</v>
      </c>
      <c r="U11" s="9" t="s">
        <v>53</v>
      </c>
      <c r="V11" s="9" t="s">
        <v>53</v>
      </c>
      <c r="W11" s="9" t="s">
        <v>53</v>
      </c>
      <c r="X11" s="9" t="s">
        <v>53</v>
      </c>
      <c r="Y11" s="9" t="s">
        <v>53</v>
      </c>
    </row>
    <row r="12" spans="2:25" ht="15.5" x14ac:dyDescent="0.35">
      <c r="B12" s="3" t="s">
        <v>19</v>
      </c>
      <c r="C12" s="11" t="s">
        <v>20</v>
      </c>
      <c r="D12" s="12">
        <v>44151</v>
      </c>
      <c r="E12" s="13">
        <v>1</v>
      </c>
      <c r="F12" s="14">
        <v>6100</v>
      </c>
      <c r="G12" s="14">
        <v>6590.8</v>
      </c>
      <c r="H12" s="14">
        <v>873</v>
      </c>
      <c r="I12" s="15">
        <f t="shared" si="0"/>
        <v>0.92553256053893307</v>
      </c>
      <c r="J12" s="15">
        <f t="shared" si="0"/>
        <v>6.9873997709049256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2:25" ht="15.5" x14ac:dyDescent="0.35">
      <c r="B13" s="3" t="s">
        <v>21</v>
      </c>
      <c r="C13" s="11" t="s">
        <v>22</v>
      </c>
      <c r="D13" s="12">
        <v>43229</v>
      </c>
      <c r="E13" s="13">
        <v>0.77</v>
      </c>
      <c r="F13" s="14">
        <v>16000</v>
      </c>
      <c r="G13" s="14">
        <v>4600</v>
      </c>
      <c r="H13" s="14" t="s">
        <v>23</v>
      </c>
      <c r="I13" s="15">
        <f t="shared" si="0"/>
        <v>3.4782608695652173</v>
      </c>
      <c r="J13" s="15" t="str">
        <f t="shared" si="0"/>
        <v>N/A</v>
      </c>
      <c r="L13" s="10"/>
      <c r="M13" s="16"/>
      <c r="N13" s="43" t="s">
        <v>55</v>
      </c>
      <c r="O13" s="44" cm="1">
        <f t="array" ref="O13:S14">TRANSPOSE(I25:J29)</f>
        <v>3.4782608695652173</v>
      </c>
      <c r="P13" s="44">
        <v>1.0964285714285715</v>
      </c>
      <c r="Q13" s="44">
        <v>0.87137032665253411</v>
      </c>
      <c r="R13" s="44">
        <v>0.57205294705294707</v>
      </c>
      <c r="S13" s="44">
        <v>0.14232270657124269</v>
      </c>
      <c r="T13" s="46">
        <f>'Public-Comps'!L21</f>
        <v>41528</v>
      </c>
      <c r="U13" s="48">
        <f>(U18+SUM($Q$17:$Q$23))/$Q$26</f>
        <v>15.264821928527956</v>
      </c>
      <c r="V13" s="48">
        <f t="shared" ref="V13:Y13" si="1">(V18+SUM($Q$17:$Q$23))/$Q$26</f>
        <v>97.503704079330817</v>
      </c>
      <c r="W13" s="48">
        <f t="shared" si="1"/>
        <v>154.78505034666563</v>
      </c>
      <c r="X13" s="48">
        <f t="shared" si="1"/>
        <v>197.85518301514156</v>
      </c>
      <c r="Y13" s="48">
        <f t="shared" si="1"/>
        <v>653.67422300140254</v>
      </c>
    </row>
    <row r="14" spans="2:25" ht="15.5" x14ac:dyDescent="0.35">
      <c r="B14" s="3" t="s">
        <v>24</v>
      </c>
      <c r="C14" s="11" t="s">
        <v>25</v>
      </c>
      <c r="D14" s="12">
        <v>42902</v>
      </c>
      <c r="E14" s="13">
        <v>1</v>
      </c>
      <c r="F14" s="14">
        <v>13700</v>
      </c>
      <c r="G14" s="14">
        <v>16000</v>
      </c>
      <c r="H14" s="14">
        <v>1400</v>
      </c>
      <c r="I14" s="15">
        <f t="shared" si="0"/>
        <v>0.85624999999999996</v>
      </c>
      <c r="J14" s="15">
        <f t="shared" si="0"/>
        <v>9.7857142857142865</v>
      </c>
      <c r="L14" s="3"/>
      <c r="M14" s="3"/>
      <c r="N14" s="43" t="s">
        <v>56</v>
      </c>
      <c r="O14" s="44">
        <v>14</v>
      </c>
      <c r="P14" s="44">
        <v>9.7841498135640581</v>
      </c>
      <c r="Q14" s="44">
        <v>8.8857142857142861</v>
      </c>
      <c r="R14" s="44">
        <v>6.1530999427262314</v>
      </c>
      <c r="S14" s="44">
        <v>3.125</v>
      </c>
      <c r="T14" s="46">
        <f>'Public-Comps'!O21</f>
        <v>2621</v>
      </c>
      <c r="U14" s="48">
        <f>(U19+SUM($Q$17:$Q$23))/$Q$26</f>
        <v>25.772875576036867</v>
      </c>
      <c r="V14" s="48">
        <f t="shared" ref="V14:Y14" si="2">(V19+SUM($Q$17:$Q$23))/$Q$26</f>
        <v>62.347299308227889</v>
      </c>
      <c r="W14" s="48">
        <f t="shared" si="2"/>
        <v>95.352747202106656</v>
      </c>
      <c r="X14" s="48">
        <f t="shared" si="2"/>
        <v>106.20435788641196</v>
      </c>
      <c r="Y14" s="48">
        <f t="shared" si="2"/>
        <v>157.12483410138248</v>
      </c>
    </row>
    <row r="15" spans="2:25" ht="15.5" x14ac:dyDescent="0.35">
      <c r="B15" s="3" t="s">
        <v>26</v>
      </c>
      <c r="C15" s="11" t="s">
        <v>27</v>
      </c>
      <c r="D15" s="12">
        <v>42997</v>
      </c>
      <c r="E15" s="13" t="s">
        <v>23</v>
      </c>
      <c r="F15" s="14">
        <v>4375</v>
      </c>
      <c r="G15" s="14">
        <v>30740</v>
      </c>
      <c r="H15" s="14">
        <v>1400</v>
      </c>
      <c r="I15" s="15">
        <f>IFERROR(IF(OR(+$F15/G15&lt;0,+$F15/G15&gt;=100),"NM",+$F15/G15),"N/A")</f>
        <v>0.14232270657124269</v>
      </c>
      <c r="J15" s="15">
        <f>IFERROR(IF(OR(+$F15/H15&lt;0,+$F15/H15&gt;=100),"NM",+$F15/H15),"N/A")</f>
        <v>3.125</v>
      </c>
      <c r="L15" s="3"/>
      <c r="M15" s="3"/>
      <c r="N15" s="43"/>
      <c r="O15" s="44"/>
      <c r="P15" s="44"/>
      <c r="Q15" s="44"/>
      <c r="R15" s="44"/>
      <c r="S15" s="44"/>
      <c r="T15" s="46"/>
      <c r="U15" s="47"/>
      <c r="V15" s="47"/>
      <c r="W15" s="47"/>
      <c r="X15" s="47"/>
      <c r="Y15" s="47"/>
    </row>
    <row r="16" spans="2:25" ht="15.5" x14ac:dyDescent="0.35">
      <c r="B16" s="3" t="s">
        <v>21</v>
      </c>
      <c r="C16" s="11" t="s">
        <v>28</v>
      </c>
      <c r="D16" s="12">
        <v>42590</v>
      </c>
      <c r="E16" s="13">
        <v>1</v>
      </c>
      <c r="F16" s="14">
        <v>3300</v>
      </c>
      <c r="G16" s="14" t="s">
        <v>23</v>
      </c>
      <c r="H16" s="14" t="s">
        <v>23</v>
      </c>
      <c r="I16" s="15" t="str">
        <f>IFERROR(IF(OR(+$F16/G16&lt;0,+$F16/G16&gt;=100),"NM",+$F16/G16),"N/A")</f>
        <v>N/A</v>
      </c>
      <c r="J16" s="15" t="str">
        <f>IFERROR(IF(OR(+$F16/H16&lt;0,+$F16/H16&gt;=100),"NM",+$F16/H16),"N/A")</f>
        <v>N/A</v>
      </c>
      <c r="L16" s="3"/>
      <c r="M16" s="3"/>
      <c r="N16" s="49" t="s">
        <v>112</v>
      </c>
      <c r="O16" s="50"/>
      <c r="P16" s="50"/>
      <c r="Q16" s="51">
        <f>W19</f>
        <v>23289.457142857143</v>
      </c>
      <c r="R16" s="3"/>
      <c r="S16" s="52" t="s">
        <v>58</v>
      </c>
      <c r="T16" s="52"/>
      <c r="U16" s="52"/>
      <c r="V16" s="53"/>
      <c r="W16" s="53"/>
      <c r="X16" s="53"/>
      <c r="Y16" s="53"/>
    </row>
    <row r="17" spans="2:25" ht="15.5" x14ac:dyDescent="0.35">
      <c r="B17" s="3" t="s">
        <v>29</v>
      </c>
      <c r="C17" s="11" t="s">
        <v>30</v>
      </c>
      <c r="D17" s="12">
        <v>42403</v>
      </c>
      <c r="E17" s="13">
        <v>1</v>
      </c>
      <c r="F17" s="14">
        <v>2400</v>
      </c>
      <c r="G17" s="14">
        <v>3060</v>
      </c>
      <c r="H17" s="14">
        <v>280</v>
      </c>
      <c r="I17" s="15">
        <f t="shared" ref="I17:J23" si="3">IFERROR(IF(OR(+$F17/G17&lt;0,+$F17/G17&gt;=100),"NM",+$F17/G17),"N/A")</f>
        <v>0.78431372549019607</v>
      </c>
      <c r="J17" s="15">
        <f t="shared" si="3"/>
        <v>8.5714285714285712</v>
      </c>
      <c r="L17" s="3"/>
      <c r="M17" s="3"/>
      <c r="N17" s="54" t="s">
        <v>59</v>
      </c>
      <c r="O17" s="2"/>
      <c r="P17" s="2"/>
      <c r="Q17" s="14">
        <v>1447</v>
      </c>
      <c r="R17" s="3"/>
      <c r="S17" s="3"/>
      <c r="T17" s="3"/>
      <c r="U17" s="3"/>
      <c r="V17" s="3"/>
      <c r="W17" s="3"/>
      <c r="X17" s="3"/>
      <c r="Y17" s="3"/>
    </row>
    <row r="18" spans="2:25" ht="15.5" x14ac:dyDescent="0.35">
      <c r="B18" s="3" t="s">
        <v>31</v>
      </c>
      <c r="C18" s="11" t="s">
        <v>32</v>
      </c>
      <c r="D18" s="12">
        <v>42380</v>
      </c>
      <c r="E18" s="13">
        <v>1</v>
      </c>
      <c r="F18" s="14">
        <v>4600</v>
      </c>
      <c r="G18" s="14">
        <v>4200</v>
      </c>
      <c r="H18" s="14">
        <v>500</v>
      </c>
      <c r="I18" s="15">
        <f t="shared" si="3"/>
        <v>1.0952380952380953</v>
      </c>
      <c r="J18" s="15">
        <f t="shared" si="3"/>
        <v>9.1999999999999993</v>
      </c>
      <c r="L18" s="3"/>
      <c r="M18" s="3"/>
      <c r="N18" s="43" t="s">
        <v>60</v>
      </c>
      <c r="O18" s="3"/>
      <c r="P18" s="3"/>
      <c r="Q18" s="14">
        <v>25.088999999999999</v>
      </c>
      <c r="R18" s="3"/>
      <c r="S18" s="39" t="s">
        <v>61</v>
      </c>
      <c r="T18" s="3"/>
      <c r="U18" s="56">
        <f>S13*$T13</f>
        <v>5910.3773584905666</v>
      </c>
      <c r="V18" s="56">
        <f>R13*$T13</f>
        <v>23756.214785214786</v>
      </c>
      <c r="W18" s="56">
        <f>Q13*$T13</f>
        <v>36186.266925226439</v>
      </c>
      <c r="X18" s="56">
        <f>P13*$T13</f>
        <v>45532.485714285722</v>
      </c>
      <c r="Y18" s="56">
        <f>O13*$T13</f>
        <v>144445.21739130435</v>
      </c>
    </row>
    <row r="19" spans="2:25" ht="15.5" x14ac:dyDescent="0.35">
      <c r="B19" s="3" t="s">
        <v>33</v>
      </c>
      <c r="C19" s="11" t="s">
        <v>34</v>
      </c>
      <c r="D19" s="12">
        <v>41945</v>
      </c>
      <c r="E19" s="13">
        <v>1</v>
      </c>
      <c r="F19" s="14">
        <v>8700</v>
      </c>
      <c r="G19" s="14">
        <v>6900</v>
      </c>
      <c r="H19" s="14">
        <v>889.62</v>
      </c>
      <c r="I19" s="15">
        <f t="shared" si="3"/>
        <v>1.2608695652173914</v>
      </c>
      <c r="J19" s="15">
        <f t="shared" si="3"/>
        <v>9.7794563971133748</v>
      </c>
      <c r="L19" s="3"/>
      <c r="M19" s="2"/>
      <c r="N19" s="43" t="s">
        <v>62</v>
      </c>
      <c r="O19" s="3"/>
      <c r="P19" s="3"/>
      <c r="Q19" s="14">
        <v>-4070</v>
      </c>
      <c r="R19" s="3"/>
      <c r="S19" s="39" t="s">
        <v>61</v>
      </c>
      <c r="T19" s="3"/>
      <c r="U19" s="56">
        <f>S14*$T14</f>
        <v>8190.625</v>
      </c>
      <c r="V19" s="56">
        <f>R14*$T14</f>
        <v>16127.274949885452</v>
      </c>
      <c r="W19" s="56">
        <f>Q14*$T14</f>
        <v>23289.457142857143</v>
      </c>
      <c r="X19" s="56">
        <f>P14*$T14</f>
        <v>25644.256661351395</v>
      </c>
      <c r="Y19" s="56">
        <f>O14*$T14</f>
        <v>36694</v>
      </c>
    </row>
    <row r="20" spans="2:25" ht="15.5" x14ac:dyDescent="0.35">
      <c r="B20" s="3" t="s">
        <v>35</v>
      </c>
      <c r="C20" s="11" t="s">
        <v>36</v>
      </c>
      <c r="D20" s="12">
        <v>42191</v>
      </c>
      <c r="E20" s="13">
        <v>1</v>
      </c>
      <c r="F20" s="14">
        <v>9200</v>
      </c>
      <c r="G20" s="14">
        <v>10378</v>
      </c>
      <c r="H20" s="14">
        <v>815</v>
      </c>
      <c r="I20" s="15">
        <f t="shared" si="3"/>
        <v>0.88649065330506838</v>
      </c>
      <c r="J20" s="15">
        <f t="shared" si="3"/>
        <v>11.288343558282209</v>
      </c>
      <c r="L20" s="10"/>
      <c r="N20" s="43" t="s">
        <v>63</v>
      </c>
      <c r="O20" s="3"/>
      <c r="P20" s="3"/>
      <c r="Q20" s="14">
        <v>0</v>
      </c>
      <c r="R20" s="3"/>
      <c r="S20" s="39"/>
      <c r="T20" s="3"/>
      <c r="U20" s="56"/>
      <c r="V20" s="56"/>
      <c r="W20" s="56"/>
      <c r="X20" s="56"/>
      <c r="Y20" s="56"/>
    </row>
    <row r="21" spans="2:25" ht="15.5" x14ac:dyDescent="0.35">
      <c r="B21" s="3" t="s">
        <v>37</v>
      </c>
      <c r="C21" s="11" t="s">
        <v>38</v>
      </c>
      <c r="D21" s="12">
        <v>42034</v>
      </c>
      <c r="E21" s="13">
        <v>1</v>
      </c>
      <c r="F21" s="14">
        <v>9400</v>
      </c>
      <c r="G21" s="14">
        <v>36200</v>
      </c>
      <c r="H21" s="14">
        <v>1600</v>
      </c>
      <c r="I21" s="15">
        <f t="shared" si="3"/>
        <v>0.25966850828729282</v>
      </c>
      <c r="J21" s="15">
        <f t="shared" si="3"/>
        <v>5.875</v>
      </c>
      <c r="L21" s="3"/>
      <c r="M21" s="3"/>
      <c r="N21" s="43" t="s">
        <v>64</v>
      </c>
      <c r="O21" s="3"/>
      <c r="P21" s="3"/>
      <c r="Q21" s="14">
        <v>0</v>
      </c>
      <c r="R21" s="3"/>
      <c r="S21" s="39"/>
      <c r="T21" s="3"/>
      <c r="U21" s="56"/>
      <c r="V21" s="56"/>
      <c r="W21" s="56"/>
      <c r="X21" s="56"/>
      <c r="Y21" s="56"/>
    </row>
    <row r="22" spans="2:25" ht="15.5" x14ac:dyDescent="0.35">
      <c r="B22" s="3" t="s">
        <v>39</v>
      </c>
      <c r="C22" s="11" t="s">
        <v>40</v>
      </c>
      <c r="D22" s="12">
        <v>42914</v>
      </c>
      <c r="E22" s="13">
        <v>1</v>
      </c>
      <c r="F22" s="14">
        <v>6900</v>
      </c>
      <c r="G22" s="14">
        <v>18200</v>
      </c>
      <c r="H22" s="14">
        <v>1400</v>
      </c>
      <c r="I22" s="15">
        <f t="shared" si="3"/>
        <v>0.37912087912087911</v>
      </c>
      <c r="J22" s="15">
        <f t="shared" si="3"/>
        <v>4.9285714285714288</v>
      </c>
      <c r="L22" s="7"/>
      <c r="M22" s="2"/>
      <c r="N22" s="43" t="s">
        <v>65</v>
      </c>
      <c r="O22" s="3"/>
      <c r="P22" s="3"/>
      <c r="Q22" s="14">
        <v>0</v>
      </c>
      <c r="R22" s="3"/>
      <c r="S22" s="39"/>
      <c r="T22" s="3"/>
      <c r="U22" s="56"/>
      <c r="V22" s="56"/>
      <c r="W22" s="56"/>
      <c r="X22" s="56"/>
      <c r="Y22" s="56"/>
    </row>
    <row r="23" spans="2:25" ht="15.5" x14ac:dyDescent="0.35">
      <c r="B23" s="3" t="s">
        <v>41</v>
      </c>
      <c r="C23" s="11" t="s">
        <v>42</v>
      </c>
      <c r="D23" s="12">
        <v>43082</v>
      </c>
      <c r="E23" s="13">
        <v>1</v>
      </c>
      <c r="F23" s="14">
        <v>550</v>
      </c>
      <c r="G23" s="14">
        <v>500</v>
      </c>
      <c r="H23" s="14" t="s">
        <v>23</v>
      </c>
      <c r="I23" s="15">
        <f t="shared" si="3"/>
        <v>1.1000000000000001</v>
      </c>
      <c r="J23" s="15" t="str">
        <f t="shared" si="3"/>
        <v>N/A</v>
      </c>
      <c r="L23" s="3"/>
      <c r="M23" s="3"/>
      <c r="N23" s="43" t="s">
        <v>66</v>
      </c>
      <c r="O23" s="3"/>
      <c r="P23" s="3"/>
      <c r="Q23" s="57">
        <v>0</v>
      </c>
      <c r="R23" s="3"/>
      <c r="S23" s="39"/>
      <c r="T23" s="3"/>
      <c r="U23" s="56"/>
      <c r="V23" s="56"/>
      <c r="W23" s="56"/>
      <c r="X23" s="56"/>
      <c r="Y23" s="56"/>
    </row>
    <row r="24" spans="2:25" ht="15.5" x14ac:dyDescent="0.35">
      <c r="F24" s="17"/>
      <c r="L24" s="3"/>
      <c r="M24" s="3"/>
      <c r="N24" s="58" t="s">
        <v>67</v>
      </c>
      <c r="O24" s="59"/>
      <c r="P24" s="59"/>
      <c r="Q24" s="60">
        <f>SUM(Q16:Q23)</f>
        <v>20691.546142857143</v>
      </c>
      <c r="R24" s="3"/>
      <c r="S24" s="39"/>
      <c r="T24" s="3"/>
      <c r="U24" s="56"/>
      <c r="V24" s="56"/>
      <c r="W24" s="56"/>
      <c r="X24" s="56"/>
      <c r="Y24" s="56"/>
    </row>
    <row r="25" spans="2:25" ht="15.5" x14ac:dyDescent="0.35">
      <c r="C25" s="18" t="s">
        <v>43</v>
      </c>
      <c r="D25" s="19"/>
      <c r="E25" s="19"/>
      <c r="F25" s="20">
        <f>MAX(F11:F23)</f>
        <v>21000</v>
      </c>
      <c r="G25" s="20">
        <f>MAX(G11:G23)</f>
        <v>36200</v>
      </c>
      <c r="H25" s="20">
        <f>MAX(H11:H23)</f>
        <v>1600</v>
      </c>
      <c r="I25" s="21">
        <f>MAX(I11:I23)</f>
        <v>3.4782608695652173</v>
      </c>
      <c r="J25" s="22">
        <f>MAX(J11:J23)</f>
        <v>14</v>
      </c>
      <c r="L25" s="3"/>
      <c r="M25" s="3"/>
      <c r="N25" s="3"/>
      <c r="O25" s="3"/>
      <c r="P25" s="3"/>
      <c r="Q25" s="3"/>
      <c r="R25" s="3"/>
      <c r="S25" s="39"/>
      <c r="T25" s="3"/>
      <c r="U25" s="56"/>
      <c r="V25" s="56"/>
      <c r="W25" s="56"/>
      <c r="X25" s="56"/>
      <c r="Y25" s="56"/>
    </row>
    <row r="26" spans="2:25" ht="15.5" x14ac:dyDescent="0.35">
      <c r="C26" s="23" t="s">
        <v>44</v>
      </c>
      <c r="D26" s="24"/>
      <c r="E26" s="24"/>
      <c r="F26" s="25">
        <f>QUARTILE(F11:F23,3)</f>
        <v>9400</v>
      </c>
      <c r="G26" s="25">
        <f>QUARTILE(G11:G23,3)</f>
        <v>21335</v>
      </c>
      <c r="H26" s="25">
        <f>QUARTILE(H11:H23,3)</f>
        <v>1400</v>
      </c>
      <c r="I26" s="15">
        <f>QUARTILE(I11:I23,3)</f>
        <v>1.0964285714285715</v>
      </c>
      <c r="J26" s="26">
        <f>QUARTILE(J11:J23,3)</f>
        <v>9.7841498135640581</v>
      </c>
      <c r="L26" s="3"/>
      <c r="M26" s="3"/>
      <c r="N26" s="2" t="s">
        <v>69</v>
      </c>
      <c r="O26" s="2"/>
      <c r="P26" s="2"/>
      <c r="Q26" s="61">
        <v>217</v>
      </c>
      <c r="R26" s="3"/>
      <c r="S26" s="39"/>
      <c r="T26" s="3"/>
      <c r="U26" s="56"/>
      <c r="V26" s="56"/>
      <c r="W26" s="56"/>
      <c r="X26" s="56"/>
      <c r="Y26" s="56"/>
    </row>
    <row r="27" spans="2:25" ht="15.5" x14ac:dyDescent="0.35">
      <c r="C27" s="27" t="s">
        <v>45</v>
      </c>
      <c r="D27" s="28"/>
      <c r="E27" s="28"/>
      <c r="F27" s="29">
        <f>MEDIAN(F11:F23)</f>
        <v>6900</v>
      </c>
      <c r="G27" s="29">
        <f>MEDIAN(G11:G23)</f>
        <v>8639</v>
      </c>
      <c r="H27" s="29">
        <f>MEDIAN(H11:H23)</f>
        <v>1144.81</v>
      </c>
      <c r="I27" s="30">
        <f>MEDIAN(I11:I23)</f>
        <v>0.87137032665253411</v>
      </c>
      <c r="J27" s="31">
        <f>MEDIAN(J11:J23)</f>
        <v>8.8857142857142861</v>
      </c>
      <c r="L27" s="3"/>
      <c r="M27" s="3"/>
      <c r="N27" s="2"/>
      <c r="O27" s="2"/>
      <c r="P27" s="2"/>
      <c r="Q27" s="2"/>
      <c r="R27" s="3"/>
      <c r="S27" s="3"/>
      <c r="T27" s="3"/>
      <c r="U27" s="3"/>
      <c r="V27" s="3"/>
      <c r="W27" s="3"/>
      <c r="X27" s="3"/>
      <c r="Y27" s="3"/>
    </row>
    <row r="28" spans="2:25" ht="15.5" x14ac:dyDescent="0.35">
      <c r="C28" s="23" t="s">
        <v>46</v>
      </c>
      <c r="D28" s="24"/>
      <c r="E28" s="24"/>
      <c r="F28" s="25">
        <f>QUARTILE(F11:F23,1)</f>
        <v>4375</v>
      </c>
      <c r="G28" s="25">
        <f>QUARTILE(G11:G23,1)</f>
        <v>4500</v>
      </c>
      <c r="H28" s="25">
        <f>QUARTILE(H11:H23,1)</f>
        <v>829.5</v>
      </c>
      <c r="I28" s="15">
        <f>QUARTILE(I11:I23,1)</f>
        <v>0.57205294705294707</v>
      </c>
      <c r="J28" s="26">
        <f>QUARTILE(J11:J23,1)</f>
        <v>6.1530999427262314</v>
      </c>
      <c r="L28" s="3"/>
      <c r="M28" s="3"/>
      <c r="N28" s="62" t="s">
        <v>220</v>
      </c>
      <c r="O28" s="63"/>
      <c r="P28" s="63"/>
      <c r="Q28" s="64">
        <f>Q24/Q26</f>
        <v>95.352747202106656</v>
      </c>
      <c r="R28" s="3"/>
      <c r="S28" s="39"/>
      <c r="T28" s="3"/>
      <c r="U28" s="56"/>
      <c r="V28" s="56"/>
      <c r="W28" s="56"/>
      <c r="X28" s="56"/>
      <c r="Y28" s="56"/>
    </row>
    <row r="29" spans="2:25" ht="15.5" x14ac:dyDescent="0.35">
      <c r="C29" s="32" t="s">
        <v>47</v>
      </c>
      <c r="D29" s="33"/>
      <c r="E29" s="33"/>
      <c r="F29" s="34">
        <f>MIN(F11:F23)</f>
        <v>550</v>
      </c>
      <c r="G29" s="34">
        <f>MIN(G11:G23)</f>
        <v>500</v>
      </c>
      <c r="H29" s="34">
        <f>MIN(H11:H23)</f>
        <v>280</v>
      </c>
      <c r="I29" s="35">
        <f>MIN(I11:I23)</f>
        <v>0.14232270657124269</v>
      </c>
      <c r="J29" s="36">
        <f>MIN(J11:J23)</f>
        <v>3.125</v>
      </c>
      <c r="L29" s="3"/>
      <c r="M29" s="3"/>
      <c r="N29" s="65" t="s">
        <v>70</v>
      </c>
      <c r="O29" s="66"/>
      <c r="P29" s="66"/>
      <c r="Q29" s="319">
        <f>Q28/DCF!Share_Price-1</f>
        <v>0.28352062460770822</v>
      </c>
      <c r="R29" s="3"/>
      <c r="S29" s="39"/>
      <c r="T29" s="3"/>
      <c r="U29" s="56"/>
      <c r="V29" s="56"/>
      <c r="W29" s="56"/>
      <c r="X29" s="56"/>
      <c r="Y29" s="56"/>
    </row>
    <row r="30" spans="2:25" ht="15.5" x14ac:dyDescent="0.35">
      <c r="L30" s="3"/>
      <c r="M30" s="3"/>
      <c r="N30" s="43"/>
      <c r="O30" s="3"/>
      <c r="P30" s="3"/>
      <c r="Q30" s="14"/>
      <c r="R30" s="3"/>
      <c r="S30" s="39"/>
      <c r="T30" s="3"/>
      <c r="U30" s="55"/>
      <c r="V30" s="55"/>
      <c r="W30" s="55"/>
      <c r="X30" s="55"/>
      <c r="Y30" s="55"/>
    </row>
    <row r="31" spans="2:25" ht="15.5" x14ac:dyDescent="0.35">
      <c r="I31" s="37"/>
      <c r="J31" s="37"/>
      <c r="L31" s="3"/>
      <c r="M31" s="3"/>
      <c r="N31" s="43"/>
      <c r="O31" s="3"/>
      <c r="P31" s="3"/>
      <c r="Q31" s="14"/>
      <c r="R31" s="3"/>
      <c r="S31" s="39"/>
      <c r="T31" s="3"/>
      <c r="U31" s="55"/>
      <c r="V31" s="55"/>
      <c r="W31" s="55"/>
      <c r="X31" s="55"/>
      <c r="Y31" s="55"/>
    </row>
    <row r="32" spans="2:25" ht="15.5" x14ac:dyDescent="0.35">
      <c r="L32" s="3"/>
      <c r="M32" s="3"/>
      <c r="N32" s="315"/>
      <c r="O32" s="2"/>
      <c r="P32" s="2"/>
      <c r="Q32" s="316"/>
      <c r="R32" s="3"/>
      <c r="S32" s="39"/>
      <c r="T32" s="3"/>
      <c r="U32" s="55"/>
      <c r="V32" s="55"/>
      <c r="W32" s="55"/>
      <c r="X32" s="55"/>
      <c r="Y32" s="55"/>
    </row>
    <row r="33" spans="12:25" ht="15.5" x14ac:dyDescent="0.35">
      <c r="L33" s="3"/>
      <c r="M33" s="3"/>
      <c r="N33" s="3"/>
      <c r="O33" s="3"/>
      <c r="P33" s="3"/>
      <c r="Q33" s="3"/>
      <c r="R33" s="3"/>
      <c r="S33" s="39"/>
      <c r="T33" s="3"/>
      <c r="U33" s="55"/>
      <c r="V33" s="55"/>
      <c r="W33" s="55"/>
      <c r="X33" s="55"/>
      <c r="Y33" s="55"/>
    </row>
    <row r="34" spans="12:25" ht="15.5" x14ac:dyDescent="0.35">
      <c r="L34" s="7"/>
      <c r="M34" s="2"/>
      <c r="N34" s="2"/>
      <c r="O34" s="2"/>
      <c r="P34" s="2"/>
      <c r="Q34" s="61"/>
      <c r="R34" s="3"/>
      <c r="S34" s="39"/>
      <c r="T34" s="3"/>
      <c r="U34" s="55"/>
      <c r="V34" s="55"/>
      <c r="W34" s="55"/>
      <c r="X34" s="55"/>
      <c r="Y34" s="55"/>
    </row>
    <row r="35" spans="12:25" ht="15.5" x14ac:dyDescent="0.35">
      <c r="L35" s="3"/>
      <c r="M35" s="2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2"/>
    </row>
    <row r="36" spans="12:25" ht="15.5" x14ac:dyDescent="0.35">
      <c r="L36" s="3"/>
      <c r="M36" s="2"/>
      <c r="N36" s="70"/>
      <c r="O36" s="2"/>
      <c r="P36" s="2"/>
      <c r="Q36" s="317"/>
      <c r="R36" s="3"/>
      <c r="S36" s="3"/>
      <c r="T36" s="3"/>
      <c r="U36" s="3"/>
      <c r="V36" s="3"/>
      <c r="W36" s="3"/>
      <c r="X36" s="3"/>
      <c r="Y36" s="2"/>
    </row>
    <row r="37" spans="12:25" ht="15.5" x14ac:dyDescent="0.35">
      <c r="L37" s="3"/>
      <c r="M37" s="3"/>
      <c r="N37" s="70"/>
      <c r="O37" s="2"/>
      <c r="P37" s="2"/>
      <c r="Q37" s="318"/>
      <c r="R37" s="3"/>
      <c r="S37" s="3"/>
      <c r="T37" s="3"/>
      <c r="U37" s="3"/>
      <c r="V37" s="3"/>
      <c r="W37" s="3"/>
      <c r="X37" s="3"/>
      <c r="Y37" s="2"/>
    </row>
    <row r="38" spans="12:25" ht="15.5" x14ac:dyDescent="0.35"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2:25" ht="15.5" x14ac:dyDescent="0.35"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12:25" ht="15.5" x14ac:dyDescent="0.35"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12:25" ht="15.5" x14ac:dyDescent="0.35">
      <c r="L41" s="3"/>
      <c r="M41" s="3"/>
      <c r="N41" s="3"/>
      <c r="O41" s="3"/>
      <c r="P41" s="3"/>
      <c r="Q41" s="3"/>
      <c r="R41" s="3"/>
      <c r="S41" s="3"/>
      <c r="T41" s="3"/>
      <c r="U41" s="3"/>
    </row>
    <row r="42" spans="12:25" ht="15.5" x14ac:dyDescent="0.35">
      <c r="L42" s="3"/>
      <c r="M42" s="3"/>
      <c r="N42" s="3"/>
      <c r="O42" s="3"/>
      <c r="P42" s="3"/>
      <c r="Q42" s="3"/>
      <c r="R42" s="3"/>
      <c r="S42" s="3"/>
      <c r="T42" s="3"/>
      <c r="U42" s="3"/>
    </row>
    <row r="43" spans="12:25" ht="15.5" x14ac:dyDescent="0.35">
      <c r="L43" s="3"/>
      <c r="M43" s="3"/>
      <c r="N43" s="3"/>
      <c r="O43" s="3"/>
      <c r="P43" s="3"/>
      <c r="Q43" s="3"/>
      <c r="R43" s="3"/>
      <c r="S43" s="3"/>
      <c r="T43" s="3"/>
      <c r="U43" s="3"/>
    </row>
    <row r="44" spans="12:25" ht="15.5" x14ac:dyDescent="0.35">
      <c r="L44" s="3"/>
      <c r="M44" s="3"/>
      <c r="N44" s="3"/>
      <c r="O44" s="3"/>
      <c r="P44" s="3"/>
      <c r="Q44" s="3"/>
      <c r="R44" s="3"/>
      <c r="S44" s="3"/>
      <c r="T44" s="3"/>
      <c r="U44" s="3"/>
    </row>
    <row r="45" spans="12:25" ht="15.5" x14ac:dyDescent="0.35">
      <c r="L45" s="3"/>
      <c r="M45" s="3"/>
      <c r="N45" s="3"/>
      <c r="O45" s="3"/>
      <c r="P45" s="3"/>
      <c r="Q45" s="3"/>
      <c r="R45" s="3"/>
      <c r="S45" s="3"/>
      <c r="T45" s="3"/>
      <c r="U45" s="3"/>
    </row>
    <row r="46" spans="12:25" ht="15.5" x14ac:dyDescent="0.35">
      <c r="L46" s="3"/>
      <c r="M46" s="3"/>
      <c r="N46" s="3"/>
      <c r="O46" s="3"/>
      <c r="P46" s="3"/>
      <c r="Q46" s="3"/>
      <c r="R46" s="3"/>
      <c r="S46" s="3"/>
      <c r="T46" s="3"/>
      <c r="U46" s="3"/>
    </row>
    <row r="47" spans="12:25" ht="15.5" x14ac:dyDescent="0.35">
      <c r="L47" s="3"/>
      <c r="M47" s="3"/>
      <c r="N47" s="3"/>
      <c r="O47" s="3"/>
      <c r="P47" s="3"/>
      <c r="Q47" s="3"/>
      <c r="R47" s="3"/>
      <c r="S47" s="3"/>
      <c r="T47" s="3"/>
      <c r="U47" s="3"/>
    </row>
    <row r="48" spans="12:25" ht="15.5" x14ac:dyDescent="0.35">
      <c r="L48" s="3"/>
      <c r="M48" s="38"/>
      <c r="N48" s="3"/>
      <c r="O48" s="3"/>
      <c r="P48" s="3"/>
      <c r="Q48" s="3"/>
      <c r="R48" s="3"/>
      <c r="S48" s="3"/>
      <c r="T48" s="3"/>
      <c r="U48" s="3"/>
    </row>
    <row r="49" spans="12:22" ht="15.5" x14ac:dyDescent="0.35">
      <c r="L49" s="3"/>
      <c r="M49" s="3"/>
      <c r="N49" s="3"/>
      <c r="O49" s="3"/>
      <c r="P49" s="3"/>
      <c r="Q49" s="3"/>
      <c r="R49" s="3"/>
      <c r="S49" s="3"/>
      <c r="T49" s="3"/>
      <c r="U49" s="3"/>
    </row>
    <row r="50" spans="12:22" ht="15.5" x14ac:dyDescent="0.35">
      <c r="L50" s="3"/>
      <c r="M50" s="3"/>
      <c r="N50" s="3"/>
      <c r="O50" s="3"/>
      <c r="P50" s="3"/>
      <c r="Q50" s="3"/>
      <c r="R50" s="3"/>
      <c r="S50" s="3"/>
      <c r="T50" s="3"/>
      <c r="U50" s="3"/>
    </row>
    <row r="51" spans="12:22" ht="15.5" x14ac:dyDescent="0.35">
      <c r="L51" s="3"/>
      <c r="M51" s="3"/>
      <c r="N51" s="3"/>
      <c r="O51" s="3"/>
      <c r="P51" s="3"/>
      <c r="Q51" s="3"/>
      <c r="R51" s="3"/>
      <c r="S51" s="3"/>
      <c r="T51" s="3"/>
      <c r="U51" s="3"/>
    </row>
    <row r="52" spans="12:22" ht="15.5" x14ac:dyDescent="0.35">
      <c r="L52" s="3"/>
      <c r="M52" s="3"/>
      <c r="N52" s="3"/>
      <c r="O52" s="3"/>
      <c r="P52" s="3"/>
      <c r="Q52" s="3"/>
      <c r="R52" s="3"/>
      <c r="S52" s="3"/>
      <c r="T52" s="3"/>
      <c r="U52" s="3"/>
    </row>
    <row r="53" spans="12:22" ht="15.5" x14ac:dyDescent="0.35">
      <c r="L53" s="3"/>
      <c r="M53" s="3"/>
      <c r="N53" s="3"/>
      <c r="O53" s="3"/>
      <c r="P53" s="3"/>
      <c r="Q53" s="3"/>
      <c r="R53" s="3"/>
      <c r="S53" s="3"/>
      <c r="T53" s="3"/>
      <c r="U53" s="3"/>
      <c r="V53" s="2"/>
    </row>
    <row r="54" spans="12:22" ht="15.5" x14ac:dyDescent="0.35">
      <c r="L54" s="7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2:22" ht="15.5" x14ac:dyDescent="0.35">
      <c r="L55" s="7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spans="12:22" ht="15.5" x14ac:dyDescent="0.35">
      <c r="L56" s="7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spans="12:22" ht="15.5" x14ac:dyDescent="0.35">
      <c r="L57" s="7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spans="12:22" ht="15.5" x14ac:dyDescent="0.35">
      <c r="L58" s="7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spans="12:22" ht="15.5" x14ac:dyDescent="0.35">
      <c r="L59" s="3"/>
      <c r="M59" s="3"/>
      <c r="N59" s="3"/>
      <c r="O59" s="3"/>
      <c r="P59" s="3"/>
      <c r="Q59" s="3"/>
      <c r="R59" s="3"/>
      <c r="S59" s="3"/>
      <c r="T59" s="3"/>
      <c r="U59" s="3"/>
      <c r="V59" s="2"/>
    </row>
    <row r="60" spans="12:22" ht="15.5" x14ac:dyDescent="0.35">
      <c r="L60" s="7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spans="12:22" ht="15.5" x14ac:dyDescent="0.35">
      <c r="L61" s="7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spans="12:22" ht="15.5" x14ac:dyDescent="0.35">
      <c r="L62" s="7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spans="12:22" ht="15.5" x14ac:dyDescent="0.35">
      <c r="L63" s="7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spans="12:22" ht="15.5" x14ac:dyDescent="0.35"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12:22" ht="15.5" x14ac:dyDescent="0.35"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12:22" ht="15.5" x14ac:dyDescent="0.35"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12:22" ht="15.5" x14ac:dyDescent="0.35"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</sheetData>
  <pageMargins left="0.7" right="0.7" top="0.75" bottom="0.75" header="0.3" footer="0.3"/>
  <pageSetup scale="42" orientation="portrait" horizontalDpi="1200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21</vt:i4>
      </vt:variant>
    </vt:vector>
  </HeadingPairs>
  <TitlesOfParts>
    <vt:vector size="25" baseType="lpstr">
      <vt:lpstr>DCF</vt:lpstr>
      <vt:lpstr>WACC</vt:lpstr>
      <vt:lpstr>Public-Comps</vt:lpstr>
      <vt:lpstr>MA_Comps</vt:lpstr>
      <vt:lpstr>DCF!Company_Name</vt:lpstr>
      <vt:lpstr>Company_Name</vt:lpstr>
      <vt:lpstr>Cost_of_Debt</vt:lpstr>
      <vt:lpstr>Cost_of_Preferred</vt:lpstr>
      <vt:lpstr>Diluted_Shares</vt:lpstr>
      <vt:lpstr>Discount_Rate</vt:lpstr>
      <vt:lpstr>Equity_Risk_Premium</vt:lpstr>
      <vt:lpstr>DCF!Hist_Year</vt:lpstr>
      <vt:lpstr>WACC!Hist_Year</vt:lpstr>
      <vt:lpstr>Hist_Year</vt:lpstr>
      <vt:lpstr>DCF!Print_Area</vt:lpstr>
      <vt:lpstr>MA_Comps!Print_Area</vt:lpstr>
      <vt:lpstr>'Public-Comps'!Print_Area</vt:lpstr>
      <vt:lpstr>WACC!Print_Area</vt:lpstr>
      <vt:lpstr>Risk_Free_Rate</vt:lpstr>
      <vt:lpstr>DCF!Share_Price</vt:lpstr>
      <vt:lpstr>Share_Price</vt:lpstr>
      <vt:lpstr>WACC!Tax_Rate</vt:lpstr>
      <vt:lpstr>Tax_Rate</vt:lpstr>
      <vt:lpstr>Ticker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 Rodà</dc:creator>
  <cp:lastModifiedBy>Martí Rodà</cp:lastModifiedBy>
  <cp:lastPrinted>2025-11-26T19:41:14Z</cp:lastPrinted>
  <dcterms:created xsi:type="dcterms:W3CDTF">2015-06-05T18:17:20Z</dcterms:created>
  <dcterms:modified xsi:type="dcterms:W3CDTF">2025-12-02T12:15:32Z</dcterms:modified>
</cp:coreProperties>
</file>